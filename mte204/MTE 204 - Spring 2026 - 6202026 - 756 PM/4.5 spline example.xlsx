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C:\Users\duane\Desktop\my_documents\Course\MTE_204\Fall_2023\notes\"/>
    </mc:Choice>
  </mc:AlternateContent>
  <xr:revisionPtr revIDLastSave="0" documentId="13_ncr:1_{DB9D76A1-53B0-4B19-8BE4-FF3ED6F5E794}" xr6:coauthVersionLast="36" xr6:coauthVersionMax="36" xr10:uidLastSave="{00000000-0000-0000-0000-000000000000}"/>
  <bookViews>
    <workbookView xWindow="0" yWindow="0" windowWidth="25275" windowHeight="14205" xr2:uid="{00000000-000D-0000-FFFF-FFFF00000000}"/>
  </bookViews>
  <sheets>
    <sheet name="Ex 4.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" i="1" l="1"/>
  <c r="D55" i="1"/>
  <c r="D54" i="1"/>
  <c r="D53" i="1"/>
  <c r="D52" i="1"/>
  <c r="C52" i="1"/>
  <c r="C51" i="1"/>
  <c r="C50" i="1"/>
  <c r="C49" i="1"/>
  <c r="C48" i="1"/>
  <c r="C47" i="1"/>
  <c r="B47" i="1"/>
  <c r="B46" i="1"/>
  <c r="B45" i="1"/>
  <c r="B44" i="1"/>
  <c r="A45" i="1"/>
  <c r="A46" i="1" s="1"/>
  <c r="E14" i="1"/>
  <c r="D13" i="1"/>
  <c r="E13" i="1"/>
  <c r="C12" i="1"/>
  <c r="D12" i="1"/>
  <c r="C11" i="1"/>
  <c r="A47" i="1" l="1"/>
  <c r="B23" i="1"/>
  <c r="A24" i="1"/>
  <c r="B24" i="1" s="1"/>
  <c r="A48" i="1" l="1"/>
  <c r="A25" i="1"/>
  <c r="A49" i="1" l="1"/>
  <c r="B25" i="1"/>
  <c r="A26" i="1"/>
  <c r="A50" i="1" l="1"/>
  <c r="C26" i="1"/>
  <c r="B26" i="1"/>
  <c r="A27" i="1"/>
  <c r="A51" i="1" l="1"/>
  <c r="A28" i="1"/>
  <c r="C27" i="1"/>
  <c r="A52" i="1" l="1"/>
  <c r="A29" i="1"/>
  <c r="C28" i="1"/>
  <c r="A53" i="1" l="1"/>
  <c r="A30" i="1"/>
  <c r="C29" i="1"/>
  <c r="A54" i="1" l="1"/>
  <c r="C30" i="1"/>
  <c r="A31" i="1"/>
  <c r="A55" i="1" l="1"/>
  <c r="D31" i="1"/>
  <c r="C31" i="1"/>
  <c r="A32" i="1"/>
  <c r="A56" i="1" l="1"/>
  <c r="D32" i="1"/>
  <c r="A33" i="1"/>
  <c r="A34" i="1" l="1"/>
  <c r="D33" i="1"/>
  <c r="A35" i="1" l="1"/>
  <c r="D35" i="1" s="1"/>
  <c r="D34" i="1"/>
</calcChain>
</file>

<file path=xl/sharedStrings.xml><?xml version="1.0" encoding="utf-8"?>
<sst xmlns="http://schemas.openxmlformats.org/spreadsheetml/2006/main" count="22" uniqueCount="14">
  <si>
    <t>i</t>
  </si>
  <si>
    <t>xi</t>
  </si>
  <si>
    <t>f(xi)</t>
  </si>
  <si>
    <t>Example 4.5</t>
  </si>
  <si>
    <t>x</t>
  </si>
  <si>
    <t>s1</t>
  </si>
  <si>
    <t>s2</t>
  </si>
  <si>
    <t>s3</t>
  </si>
  <si>
    <t>Quadratic or 2nd order spline</t>
  </si>
  <si>
    <t>Cubic polynomial (red dashed line)</t>
  </si>
  <si>
    <t>Linear</t>
  </si>
  <si>
    <t>f(x)</t>
  </si>
  <si>
    <t>Cubic Spline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</si>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</sst>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4.5'!$B$4:$B$7</c:f>
              <c:numCache>
                <c:formatCode>0.0</c:formatCode>
                <c:ptCount val="4"/>
                <c:pt idx="0">
                  <c:v>3</c:v>
                </c:pt>
                <c:pt idx="1">
                  <c:v>4.5</c:v>
                </c:pt>
                <c:pt idx="2">
                  <c:v>7</c:v>
                </c:pt>
                <c:pt idx="3">
                  <c:v>9</c:v>
                </c:pt>
              </c:numCache>
            </c:numRef>
          </c:xVal>
          <c:yVal>
            <c:numRef>
              <c:f>'Ex 4.5'!$C$4:$C$7</c:f>
              <c:numCache>
                <c:formatCode>0.0</c:formatCode>
                <c:ptCount val="4"/>
                <c:pt idx="0">
                  <c:v>2.5</c:v>
                </c:pt>
                <c:pt idx="1">
                  <c:v>1</c:v>
                </c:pt>
                <c:pt idx="2">
                  <c:v>2.5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C-4757-9169-35FFEE2FC1A5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'Ex 4.5'!$A$23:$A$32</c:f>
              <c:numCache>
                <c:formatCode>0.00</c:formatCode>
                <c:ptCount val="10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</c:numCache>
            </c:numRef>
          </c:xVal>
          <c:yVal>
            <c:numRef>
              <c:f>'Ex 4.5'!$B$23:$B$32</c:f>
              <c:numCache>
                <c:formatCode>0.00</c:formatCode>
                <c:ptCount val="10"/>
                <c:pt idx="0">
                  <c:v>2.5</c:v>
                </c:pt>
                <c:pt idx="1">
                  <c:v>2</c:v>
                </c:pt>
                <c:pt idx="2">
                  <c:v>1.5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6C-4757-9169-35FFEE2FC1A5}"/>
            </c:ext>
          </c:extLst>
        </c:ser>
        <c:ser>
          <c:idx val="2"/>
          <c:order val="2"/>
          <c:spPr>
            <a:ln w="254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'Ex 4.5'!$A$26:$A$31</c:f>
              <c:numCache>
                <c:formatCode>0.00</c:formatCode>
                <c:ptCount val="6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</c:numCache>
            </c:numRef>
          </c:xVal>
          <c:yVal>
            <c:numRef>
              <c:f>'Ex 4.5'!$C$26:$C$31</c:f>
              <c:numCache>
                <c:formatCode>0.00</c:formatCode>
                <c:ptCount val="6"/>
                <c:pt idx="0">
                  <c:v>1</c:v>
                </c:pt>
                <c:pt idx="1">
                  <c:v>0.66</c:v>
                </c:pt>
                <c:pt idx="2">
                  <c:v>0.64</c:v>
                </c:pt>
                <c:pt idx="3">
                  <c:v>0.94</c:v>
                </c:pt>
                <c:pt idx="4">
                  <c:v>1.56</c:v>
                </c:pt>
                <c:pt idx="5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6C-4757-9169-35FFEE2FC1A5}"/>
            </c:ext>
          </c:extLst>
        </c:ser>
        <c:ser>
          <c:idx val="3"/>
          <c:order val="3"/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'Ex 4.5'!$A$31:$A$35</c:f>
              <c:numCache>
                <c:formatCode>0.00</c:formatCode>
                <c:ptCount val="5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</c:numCache>
            </c:numRef>
          </c:xVal>
          <c:yVal>
            <c:numRef>
              <c:f>'Ex 4.5'!$D$31:$D$35</c:f>
              <c:numCache>
                <c:formatCode>0.00</c:formatCode>
                <c:ptCount val="5"/>
                <c:pt idx="0">
                  <c:v>2.5</c:v>
                </c:pt>
                <c:pt idx="1">
                  <c:v>3.2</c:v>
                </c:pt>
                <c:pt idx="2">
                  <c:v>3.1</c:v>
                </c:pt>
                <c:pt idx="3">
                  <c:v>2.2000000000000006</c:v>
                </c:pt>
                <c:pt idx="4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6C-4757-9169-35FFEE2FC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287023"/>
        <c:axId val="621294511"/>
      </c:scatterChart>
      <c:valAx>
        <c:axId val="62128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94511"/>
        <c:crosses val="autoZero"/>
        <c:crossBetween val="midCat"/>
      </c:valAx>
      <c:valAx>
        <c:axId val="62129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8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0117213473315834"/>
                  <c:y val="3.62529163021289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 4.5'!$B$4:$B$7</c:f>
              <c:numCache>
                <c:formatCode>0.0</c:formatCode>
                <c:ptCount val="4"/>
                <c:pt idx="0">
                  <c:v>3</c:v>
                </c:pt>
                <c:pt idx="1">
                  <c:v>4.5</c:v>
                </c:pt>
                <c:pt idx="2">
                  <c:v>7</c:v>
                </c:pt>
                <c:pt idx="3">
                  <c:v>9</c:v>
                </c:pt>
              </c:numCache>
            </c:numRef>
          </c:xVal>
          <c:yVal>
            <c:numRef>
              <c:f>'Ex 4.5'!$C$4:$C$7</c:f>
              <c:numCache>
                <c:formatCode>0.0</c:formatCode>
                <c:ptCount val="4"/>
                <c:pt idx="0">
                  <c:v>2.5</c:v>
                </c:pt>
                <c:pt idx="1">
                  <c:v>1</c:v>
                </c:pt>
                <c:pt idx="2">
                  <c:v>2.5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6-4144-9435-65CDD7DABD05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'Ex 4.5'!$A$23:$A$32</c:f>
              <c:numCache>
                <c:formatCode>0.00</c:formatCode>
                <c:ptCount val="10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</c:numCache>
            </c:numRef>
          </c:xVal>
          <c:yVal>
            <c:numRef>
              <c:f>'Ex 4.5'!$B$23:$B$32</c:f>
              <c:numCache>
                <c:formatCode>0.00</c:formatCode>
                <c:ptCount val="10"/>
                <c:pt idx="0">
                  <c:v>2.5</c:v>
                </c:pt>
                <c:pt idx="1">
                  <c:v>2</c:v>
                </c:pt>
                <c:pt idx="2">
                  <c:v>1.5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B6-4144-9435-65CDD7DABD05}"/>
            </c:ext>
          </c:extLst>
        </c:ser>
        <c:ser>
          <c:idx val="2"/>
          <c:order val="2"/>
          <c:spPr>
            <a:ln w="254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'Ex 4.5'!$A$26:$A$31</c:f>
              <c:numCache>
                <c:formatCode>0.00</c:formatCode>
                <c:ptCount val="6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</c:numCache>
            </c:numRef>
          </c:xVal>
          <c:yVal>
            <c:numRef>
              <c:f>'Ex 4.5'!$C$26:$C$31</c:f>
              <c:numCache>
                <c:formatCode>0.00</c:formatCode>
                <c:ptCount val="6"/>
                <c:pt idx="0">
                  <c:v>1</c:v>
                </c:pt>
                <c:pt idx="1">
                  <c:v>0.66</c:v>
                </c:pt>
                <c:pt idx="2">
                  <c:v>0.64</c:v>
                </c:pt>
                <c:pt idx="3">
                  <c:v>0.94</c:v>
                </c:pt>
                <c:pt idx="4">
                  <c:v>1.56</c:v>
                </c:pt>
                <c:pt idx="5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B6-4144-9435-65CDD7DABD05}"/>
            </c:ext>
          </c:extLst>
        </c:ser>
        <c:ser>
          <c:idx val="3"/>
          <c:order val="3"/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'Ex 4.5'!$A$31:$A$35</c:f>
              <c:numCache>
                <c:formatCode>0.00</c:formatCode>
                <c:ptCount val="5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</c:numCache>
            </c:numRef>
          </c:xVal>
          <c:yVal>
            <c:numRef>
              <c:f>'Ex 4.5'!$D$31:$D$35</c:f>
              <c:numCache>
                <c:formatCode>0.00</c:formatCode>
                <c:ptCount val="5"/>
                <c:pt idx="0">
                  <c:v>2.5</c:v>
                </c:pt>
                <c:pt idx="1">
                  <c:v>3.2</c:v>
                </c:pt>
                <c:pt idx="2">
                  <c:v>3.1</c:v>
                </c:pt>
                <c:pt idx="3">
                  <c:v>2.2000000000000006</c:v>
                </c:pt>
                <c:pt idx="4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B6-4144-9435-65CDD7DAB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287023"/>
        <c:axId val="621294511"/>
      </c:scatterChart>
      <c:valAx>
        <c:axId val="62128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94511"/>
        <c:crosses val="autoZero"/>
        <c:crossBetween val="midCat"/>
      </c:valAx>
      <c:valAx>
        <c:axId val="62129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8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539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4.5'!$B$4:$B$7</c:f>
              <c:numCache>
                <c:formatCode>0.0</c:formatCode>
                <c:ptCount val="4"/>
                <c:pt idx="0">
                  <c:v>3</c:v>
                </c:pt>
                <c:pt idx="1">
                  <c:v>4.5</c:v>
                </c:pt>
                <c:pt idx="2">
                  <c:v>7</c:v>
                </c:pt>
                <c:pt idx="3">
                  <c:v>9</c:v>
                </c:pt>
              </c:numCache>
            </c:numRef>
          </c:xVal>
          <c:yVal>
            <c:numRef>
              <c:f>'Ex 4.5'!$C$4:$C$7</c:f>
              <c:numCache>
                <c:formatCode>0.0</c:formatCode>
                <c:ptCount val="4"/>
                <c:pt idx="0">
                  <c:v>2.5</c:v>
                </c:pt>
                <c:pt idx="1">
                  <c:v>1</c:v>
                </c:pt>
                <c:pt idx="2">
                  <c:v>2.5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30-458B-930B-5464B435BC12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'Ex 4.5'!$A$23:$A$32</c:f>
              <c:numCache>
                <c:formatCode>0.00</c:formatCode>
                <c:ptCount val="10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</c:numCache>
            </c:numRef>
          </c:xVal>
          <c:yVal>
            <c:numRef>
              <c:f>'Ex 4.5'!$B$23:$B$32</c:f>
              <c:numCache>
                <c:formatCode>0.00</c:formatCode>
                <c:ptCount val="10"/>
                <c:pt idx="0">
                  <c:v>2.5</c:v>
                </c:pt>
                <c:pt idx="1">
                  <c:v>2</c:v>
                </c:pt>
                <c:pt idx="2">
                  <c:v>1.5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30-458B-930B-5464B435BC12}"/>
            </c:ext>
          </c:extLst>
        </c:ser>
        <c:ser>
          <c:idx val="2"/>
          <c:order val="2"/>
          <c:spPr>
            <a:ln w="254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'Ex 4.5'!$A$26:$A$31</c:f>
              <c:numCache>
                <c:formatCode>0.00</c:formatCode>
                <c:ptCount val="6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</c:numCache>
            </c:numRef>
          </c:xVal>
          <c:yVal>
            <c:numRef>
              <c:f>'Ex 4.5'!$C$26:$C$31</c:f>
              <c:numCache>
                <c:formatCode>0.00</c:formatCode>
                <c:ptCount val="6"/>
                <c:pt idx="0">
                  <c:v>1</c:v>
                </c:pt>
                <c:pt idx="1">
                  <c:v>0.66</c:v>
                </c:pt>
                <c:pt idx="2">
                  <c:v>0.64</c:v>
                </c:pt>
                <c:pt idx="3">
                  <c:v>0.94</c:v>
                </c:pt>
                <c:pt idx="4">
                  <c:v>1.56</c:v>
                </c:pt>
                <c:pt idx="5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30-458B-930B-5464B435BC12}"/>
            </c:ext>
          </c:extLst>
        </c:ser>
        <c:ser>
          <c:idx val="3"/>
          <c:order val="3"/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'Ex 4.5'!$A$31:$A$35</c:f>
              <c:numCache>
                <c:formatCode>0.00</c:formatCode>
                <c:ptCount val="5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</c:numCache>
            </c:numRef>
          </c:xVal>
          <c:yVal>
            <c:numRef>
              <c:f>'Ex 4.5'!$D$31:$D$35</c:f>
              <c:numCache>
                <c:formatCode>0.00</c:formatCode>
                <c:ptCount val="5"/>
                <c:pt idx="0">
                  <c:v>2.5</c:v>
                </c:pt>
                <c:pt idx="1">
                  <c:v>3.2</c:v>
                </c:pt>
                <c:pt idx="2">
                  <c:v>3.1</c:v>
                </c:pt>
                <c:pt idx="3">
                  <c:v>2.2000000000000006</c:v>
                </c:pt>
                <c:pt idx="4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30-458B-930B-5464B435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287023"/>
        <c:axId val="621294511"/>
      </c:scatterChart>
      <c:valAx>
        <c:axId val="62128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94511"/>
        <c:crosses val="autoZero"/>
        <c:crossBetween val="midCat"/>
      </c:valAx>
      <c:valAx>
        <c:axId val="62129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8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 cmpd="dbl">
                <a:solidFill>
                  <a:srgbClr val="7030A0"/>
                </a:solidFill>
                <a:prstDash val="sysDash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1.5061023622047243E-2"/>
                  <c:y val="4.08825459317585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 4.5'!$B$4:$B$7</c:f>
              <c:numCache>
                <c:formatCode>0.0</c:formatCode>
                <c:ptCount val="4"/>
                <c:pt idx="0">
                  <c:v>3</c:v>
                </c:pt>
                <c:pt idx="1">
                  <c:v>4.5</c:v>
                </c:pt>
                <c:pt idx="2">
                  <c:v>7</c:v>
                </c:pt>
                <c:pt idx="3">
                  <c:v>9</c:v>
                </c:pt>
              </c:numCache>
            </c:numRef>
          </c:xVal>
          <c:yVal>
            <c:numRef>
              <c:f>'Ex 4.5'!$C$4:$C$7</c:f>
              <c:numCache>
                <c:formatCode>0.0</c:formatCode>
                <c:ptCount val="4"/>
                <c:pt idx="0">
                  <c:v>2.5</c:v>
                </c:pt>
                <c:pt idx="1">
                  <c:v>1</c:v>
                </c:pt>
                <c:pt idx="2">
                  <c:v>2.5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F-4BA1-92B9-E39622AA7635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'Ex 4.5'!$A$23:$A$32</c:f>
              <c:numCache>
                <c:formatCode>0.00</c:formatCode>
                <c:ptCount val="10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</c:numCache>
            </c:numRef>
          </c:xVal>
          <c:yVal>
            <c:numRef>
              <c:f>'Ex 4.5'!$B$23:$B$32</c:f>
              <c:numCache>
                <c:formatCode>0.00</c:formatCode>
                <c:ptCount val="10"/>
                <c:pt idx="0">
                  <c:v>2.5</c:v>
                </c:pt>
                <c:pt idx="1">
                  <c:v>2</c:v>
                </c:pt>
                <c:pt idx="2">
                  <c:v>1.5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6F-4BA1-92B9-E39622AA7635}"/>
            </c:ext>
          </c:extLst>
        </c:ser>
        <c:ser>
          <c:idx val="2"/>
          <c:order val="2"/>
          <c:spPr>
            <a:ln w="254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'Ex 4.5'!$A$26:$A$31</c:f>
              <c:numCache>
                <c:formatCode>0.00</c:formatCode>
                <c:ptCount val="6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</c:numCache>
            </c:numRef>
          </c:xVal>
          <c:yVal>
            <c:numRef>
              <c:f>'Ex 4.5'!$C$26:$C$31</c:f>
              <c:numCache>
                <c:formatCode>0.00</c:formatCode>
                <c:ptCount val="6"/>
                <c:pt idx="0">
                  <c:v>1</c:v>
                </c:pt>
                <c:pt idx="1">
                  <c:v>0.66</c:v>
                </c:pt>
                <c:pt idx="2">
                  <c:v>0.64</c:v>
                </c:pt>
                <c:pt idx="3">
                  <c:v>0.94</c:v>
                </c:pt>
                <c:pt idx="4">
                  <c:v>1.56</c:v>
                </c:pt>
                <c:pt idx="5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6F-4BA1-92B9-E39622AA7635}"/>
            </c:ext>
          </c:extLst>
        </c:ser>
        <c:ser>
          <c:idx val="3"/>
          <c:order val="3"/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'Ex 4.5'!$A$31:$A$35</c:f>
              <c:numCache>
                <c:formatCode>0.00</c:formatCode>
                <c:ptCount val="5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</c:numCache>
            </c:numRef>
          </c:xVal>
          <c:yVal>
            <c:numRef>
              <c:f>'Ex 4.5'!$D$31:$D$35</c:f>
              <c:numCache>
                <c:formatCode>0.00</c:formatCode>
                <c:ptCount val="5"/>
                <c:pt idx="0">
                  <c:v>2.5</c:v>
                </c:pt>
                <c:pt idx="1">
                  <c:v>3.2</c:v>
                </c:pt>
                <c:pt idx="2">
                  <c:v>3.1</c:v>
                </c:pt>
                <c:pt idx="3">
                  <c:v>2.2000000000000006</c:v>
                </c:pt>
                <c:pt idx="4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6F-4BA1-92B9-E39622AA7635}"/>
            </c:ext>
          </c:extLst>
        </c:ser>
        <c:ser>
          <c:idx val="4"/>
          <c:order val="4"/>
          <c:spPr>
            <a:ln w="412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'Ex 4.5'!$A$44:$A$56</c:f>
              <c:numCache>
                <c:formatCode>0.00</c:formatCode>
                <c:ptCount val="13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</c:numCache>
            </c:numRef>
          </c:xVal>
          <c:yVal>
            <c:numRef>
              <c:f>'Ex 4.5'!$B$44:$B$56</c:f>
              <c:numCache>
                <c:formatCode>0.00</c:formatCode>
                <c:ptCount val="13"/>
                <c:pt idx="0">
                  <c:v>2.5</c:v>
                </c:pt>
                <c:pt idx="1">
                  <c:v>1.8134356250000001</c:v>
                </c:pt>
                <c:pt idx="2">
                  <c:v>1.2667950000000001</c:v>
                </c:pt>
                <c:pt idx="3">
                  <c:v>1.0000018749999999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6F-4BA1-92B9-E39622AA7635}"/>
            </c:ext>
          </c:extLst>
        </c:ser>
        <c:ser>
          <c:idx val="5"/>
          <c:order val="5"/>
          <c:spPr>
            <a:ln w="381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'Ex 4.5'!$A$44:$A$56</c:f>
              <c:numCache>
                <c:formatCode>0.00</c:formatCode>
                <c:ptCount val="13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</c:numCache>
            </c:numRef>
          </c:xVal>
          <c:yVal>
            <c:numRef>
              <c:f>'Ex 4.5'!$C$44:$C$56</c:f>
              <c:numCache>
                <c:formatCode>0.00</c:formatCode>
                <c:ptCount val="13"/>
                <c:pt idx="3">
                  <c:v>1</c:v>
                </c:pt>
                <c:pt idx="4">
                  <c:v>1.1028897500000001</c:v>
                </c:pt>
                <c:pt idx="5">
                  <c:v>1.4649429999999999</c:v>
                </c:pt>
                <c:pt idx="6">
                  <c:v>1.9255517500000001</c:v>
                </c:pt>
                <c:pt idx="7">
                  <c:v>2.3241079999999998</c:v>
                </c:pt>
                <c:pt idx="8">
                  <c:v>2.5000037500000003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6F-4BA1-92B9-E39622AA7635}"/>
            </c:ext>
          </c:extLst>
        </c:ser>
        <c:ser>
          <c:idx val="6"/>
          <c:order val="6"/>
          <c:spPr>
            <a:ln w="38100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'Ex 4.5'!$A$44:$A$56</c:f>
              <c:numCache>
                <c:formatCode>0.00</c:formatCode>
                <c:ptCount val="13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</c:numCache>
            </c:numRef>
          </c:xVal>
          <c:yVal>
            <c:numRef>
              <c:f>'Ex 4.5'!$D$44:$D$56</c:f>
              <c:numCache>
                <c:formatCode>0.00</c:formatCode>
                <c:ptCount val="13"/>
                <c:pt idx="8">
                  <c:v>2.5</c:v>
                </c:pt>
                <c:pt idx="9">
                  <c:v>2.3353611000000001</c:v>
                </c:pt>
                <c:pt idx="10">
                  <c:v>1.8832697</c:v>
                </c:pt>
                <c:pt idx="11">
                  <c:v>1.2395432499999999</c:v>
                </c:pt>
                <c:pt idx="12">
                  <c:v>0.49999919999999998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06F-4BA1-92B9-E39622AA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287023"/>
        <c:axId val="621294511"/>
      </c:scatterChart>
      <c:valAx>
        <c:axId val="62128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94511"/>
        <c:crosses val="autoZero"/>
        <c:crossBetween val="midCat"/>
      </c:valAx>
      <c:valAx>
        <c:axId val="62129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8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0</xdr:row>
      <xdr:rowOff>76200</xdr:rowOff>
    </xdr:from>
    <xdr:to>
      <xdr:col>20</xdr:col>
      <xdr:colOff>333375</xdr:colOff>
      <xdr:row>10</xdr:row>
      <xdr:rowOff>57150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251445B-3925-4A8E-876E-C522D5224250}"/>
            </a:ext>
          </a:extLst>
        </xdr:cNvPr>
        <xdr:cNvGrpSpPr/>
      </xdr:nvGrpSpPr>
      <xdr:grpSpPr>
        <a:xfrm>
          <a:off x="8124825" y="76200"/>
          <a:ext cx="4400550" cy="1914525"/>
          <a:chOff x="2419350" y="285750"/>
          <a:chExt cx="4400550" cy="1914525"/>
        </a:xfrm>
      </xdr:grpSpPr>
      <xdr:pic>
        <xdr:nvPicPr>
          <xdr:cNvPr id="2" name="Picture 1" descr="C:\Users\dscro\AppData\Roaming\PixelMetrics\CaptureWiz\Temp\69.png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19350" y="285750"/>
            <a:ext cx="4400550" cy="19145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4076700" y="1370961"/>
            <a:ext cx="152400" cy="15240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CA"/>
          </a:p>
        </xdr:txBody>
      </xdr:sp>
      <xdr:sp macro="" textlink="">
        <xdr:nvSpPr>
          <xdr:cNvPr id="4" name="TextBox 21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4192297" y="1351468"/>
            <a:ext cx="29206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/>
              <a:t>?</a:t>
            </a:r>
            <a:endParaRPr lang="en-CA"/>
          </a:p>
        </xdr:txBody>
      </xdr:sp>
    </xdr:grpSp>
    <xdr:clientData/>
  </xdr:twoCellAnchor>
  <xdr:twoCellAnchor>
    <xdr:from>
      <xdr:col>5</xdr:col>
      <xdr:colOff>404812</xdr:colOff>
      <xdr:row>16</xdr:row>
      <xdr:rowOff>61912</xdr:rowOff>
    </xdr:from>
    <xdr:to>
      <xdr:col>13</xdr:col>
      <xdr:colOff>100012</xdr:colOff>
      <xdr:row>30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438150</xdr:colOff>
      <xdr:row>31</xdr:row>
      <xdr:rowOff>114300</xdr:rowOff>
    </xdr:from>
    <xdr:to>
      <xdr:col>12</xdr:col>
      <xdr:colOff>123825</xdr:colOff>
      <xdr:row>38</xdr:row>
      <xdr:rowOff>28575</xdr:rowOff>
    </xdr:to>
    <xdr:pic>
      <xdr:nvPicPr>
        <xdr:cNvPr id="6" name="Picture 5" descr="C:\Users\dscro\AppData\Roaming\PixelMetrics\CaptureWiz\Temp\87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6048375"/>
          <a:ext cx="39528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247650</xdr:colOff>
      <xdr:row>15</xdr:row>
      <xdr:rowOff>76200</xdr:rowOff>
    </xdr:from>
    <xdr:to>
      <xdr:col>21</xdr:col>
      <xdr:colOff>552450</xdr:colOff>
      <xdr:row>29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E18442-05B2-40C1-80F0-E0182EBE4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342900</xdr:colOff>
      <xdr:row>1</xdr:row>
      <xdr:rowOff>95250</xdr:rowOff>
    </xdr:from>
    <xdr:to>
      <xdr:col>13</xdr:col>
      <xdr:colOff>38100</xdr:colOff>
      <xdr:row>15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8C6F5E-F15F-47F8-8A70-A61AD0DB5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457200</xdr:colOff>
      <xdr:row>47</xdr:row>
      <xdr:rowOff>95250</xdr:rowOff>
    </xdr:from>
    <xdr:to>
      <xdr:col>13</xdr:col>
      <xdr:colOff>504825</xdr:colOff>
      <xdr:row>54</xdr:row>
      <xdr:rowOff>142875</xdr:rowOff>
    </xdr:to>
    <xdr:pic>
      <xdr:nvPicPr>
        <xdr:cNvPr id="10" name="Picture 9" descr="C:\Users\duane\AppData\Roaming\PixelMetrics\CaptureWiz\Temp\6.png">
          <a:extLst>
            <a:ext uri="{FF2B5EF4-FFF2-40B4-BE49-F238E27FC236}">
              <a16:creationId xmlns:a16="http://schemas.microsoft.com/office/drawing/2014/main" id="{76326B33-67C9-4C88-B0B0-92DFF62E1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9077325"/>
          <a:ext cx="5534025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95250</xdr:colOff>
      <xdr:row>41</xdr:row>
      <xdr:rowOff>171450</xdr:rowOff>
    </xdr:from>
    <xdr:to>
      <xdr:col>21</xdr:col>
      <xdr:colOff>400050</xdr:colOff>
      <xdr:row>56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B2EDA08-324A-49E1-B17D-A0A565BFE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workbookViewId="0">
      <selection activeCell="E5" sqref="E5"/>
    </sheetView>
  </sheetViews>
  <sheetFormatPr defaultRowHeight="15" x14ac:dyDescent="0.25"/>
  <sheetData>
    <row r="1" spans="1:16" x14ac:dyDescent="0.25">
      <c r="A1" t="s">
        <v>3</v>
      </c>
    </row>
    <row r="2" spans="1:16" ht="15.75" thickBot="1" x14ac:dyDescent="0.3"/>
    <row r="3" spans="1:16" ht="15.75" thickBot="1" x14ac:dyDescent="0.3">
      <c r="A3" s="1" t="s">
        <v>0</v>
      </c>
      <c r="B3" s="2" t="s">
        <v>1</v>
      </c>
      <c r="C3" s="3" t="s">
        <v>2</v>
      </c>
    </row>
    <row r="4" spans="1:16" x14ac:dyDescent="0.25">
      <c r="A4" s="4">
        <v>1</v>
      </c>
      <c r="B4" s="5">
        <v>3</v>
      </c>
      <c r="C4" s="6">
        <v>2.5</v>
      </c>
      <c r="E4" t="s">
        <v>13</v>
      </c>
    </row>
    <row r="5" spans="1:16" x14ac:dyDescent="0.25">
      <c r="A5" s="7">
        <v>2</v>
      </c>
      <c r="B5" s="8">
        <v>4.5</v>
      </c>
      <c r="C5" s="9">
        <v>1</v>
      </c>
    </row>
    <row r="6" spans="1:16" x14ac:dyDescent="0.25">
      <c r="A6" s="7">
        <v>3</v>
      </c>
      <c r="B6" s="8">
        <v>7</v>
      </c>
      <c r="C6" s="9">
        <v>2.5</v>
      </c>
    </row>
    <row r="7" spans="1:16" ht="15.75" thickBot="1" x14ac:dyDescent="0.3">
      <c r="A7" s="10">
        <v>4</v>
      </c>
      <c r="B7" s="11">
        <v>9</v>
      </c>
      <c r="C7" s="12">
        <v>0.5</v>
      </c>
    </row>
    <row r="9" spans="1:16" x14ac:dyDescent="0.25">
      <c r="A9" t="s">
        <v>10</v>
      </c>
    </row>
    <row r="10" spans="1:16" x14ac:dyDescent="0.25">
      <c r="A10" t="s">
        <v>4</v>
      </c>
      <c r="B10" t="s">
        <v>11</v>
      </c>
      <c r="C10" t="s">
        <v>5</v>
      </c>
      <c r="D10" t="s">
        <v>6</v>
      </c>
      <c r="E10" t="s">
        <v>7</v>
      </c>
    </row>
    <row r="11" spans="1:16" x14ac:dyDescent="0.25">
      <c r="A11">
        <v>3</v>
      </c>
      <c r="B11">
        <v>2.5</v>
      </c>
      <c r="C11">
        <f>+B11+(B11-B12)/(A11-A12)*(A11-A11)</f>
        <v>2.5</v>
      </c>
    </row>
    <row r="12" spans="1:16" x14ac:dyDescent="0.25">
      <c r="A12">
        <v>4.5</v>
      </c>
      <c r="B12">
        <v>1</v>
      </c>
      <c r="C12">
        <f>+B12+(B12-B13)/(A12-A13)*(A12-A12)</f>
        <v>1</v>
      </c>
      <c r="D12">
        <f>+B12+(B12-B13)/(A12-A13)*(A12-A12)</f>
        <v>1</v>
      </c>
    </row>
    <row r="13" spans="1:16" x14ac:dyDescent="0.25">
      <c r="A13">
        <v>7</v>
      </c>
      <c r="B13">
        <v>2.5</v>
      </c>
      <c r="D13">
        <f>+B13+(B13-B14)/(A13-A14)*(A13-A13)</f>
        <v>2.5</v>
      </c>
      <c r="E13">
        <f>+B13+(B13-B14)/(A13-A14)*(A13-A13)</f>
        <v>2.5</v>
      </c>
    </row>
    <row r="14" spans="1:16" x14ac:dyDescent="0.25">
      <c r="A14">
        <v>9</v>
      </c>
      <c r="B14">
        <v>0.5</v>
      </c>
      <c r="E14">
        <f>+B14+(B14-B15)/(A14-A15)*(A14-A14)</f>
        <v>0.5</v>
      </c>
      <c r="P14" s="14" t="s">
        <v>9</v>
      </c>
    </row>
    <row r="18" spans="1:4" x14ac:dyDescent="0.25">
      <c r="A18" s="15" t="s">
        <v>8</v>
      </c>
    </row>
    <row r="21" spans="1:4" x14ac:dyDescent="0.25">
      <c r="A21" t="s">
        <v>4</v>
      </c>
      <c r="B21" t="s">
        <v>5</v>
      </c>
      <c r="C21" t="s">
        <v>6</v>
      </c>
      <c r="D21" t="s">
        <v>7</v>
      </c>
    </row>
    <row r="23" spans="1:4" x14ac:dyDescent="0.25">
      <c r="A23" s="13">
        <v>3</v>
      </c>
      <c r="B23" s="13">
        <f>2.5-(A23-3)</f>
        <v>2.5</v>
      </c>
      <c r="C23" s="13"/>
      <c r="D23" s="13"/>
    </row>
    <row r="24" spans="1:4" x14ac:dyDescent="0.25">
      <c r="A24" s="13">
        <f>+A23+0.5</f>
        <v>3.5</v>
      </c>
      <c r="B24" s="13">
        <f t="shared" ref="B24:B26" si="0">2.5-(A24-3)</f>
        <v>2</v>
      </c>
      <c r="C24" s="13"/>
      <c r="D24" s="13"/>
    </row>
    <row r="25" spans="1:4" x14ac:dyDescent="0.25">
      <c r="A25" s="13">
        <f t="shared" ref="A25:A35" si="1">+A24+0.5</f>
        <v>4</v>
      </c>
      <c r="B25" s="13">
        <f t="shared" si="0"/>
        <v>1.5</v>
      </c>
      <c r="C25" s="13"/>
      <c r="D25" s="13"/>
    </row>
    <row r="26" spans="1:4" x14ac:dyDescent="0.25">
      <c r="A26" s="13">
        <f t="shared" si="1"/>
        <v>4.5</v>
      </c>
      <c r="B26" s="13">
        <f t="shared" si="0"/>
        <v>1</v>
      </c>
      <c r="C26" s="13">
        <f>1-(A26-4.5)+0.64*(A26-4.5)^2</f>
        <v>1</v>
      </c>
      <c r="D26" s="13"/>
    </row>
    <row r="27" spans="1:4" x14ac:dyDescent="0.25">
      <c r="A27" s="13">
        <f t="shared" si="1"/>
        <v>5</v>
      </c>
      <c r="B27" s="13"/>
      <c r="C27" s="13">
        <f>1-(A27-4.5)+0.64*(A27-4.5)^2</f>
        <v>0.66</v>
      </c>
      <c r="D27" s="13"/>
    </row>
    <row r="28" spans="1:4" x14ac:dyDescent="0.25">
      <c r="A28" s="13">
        <f t="shared" si="1"/>
        <v>5.5</v>
      </c>
      <c r="B28" s="13"/>
      <c r="C28" s="13">
        <f t="shared" ref="C28:C31" si="2">1-(A28-4.5)+0.64*(A28-4.5)^2</f>
        <v>0.64</v>
      </c>
      <c r="D28" s="13"/>
    </row>
    <row r="29" spans="1:4" x14ac:dyDescent="0.25">
      <c r="A29" s="13">
        <f t="shared" si="1"/>
        <v>6</v>
      </c>
      <c r="B29" s="13"/>
      <c r="C29" s="13">
        <f t="shared" si="2"/>
        <v>0.94</v>
      </c>
      <c r="D29" s="13"/>
    </row>
    <row r="30" spans="1:4" x14ac:dyDescent="0.25">
      <c r="A30" s="13">
        <f t="shared" si="1"/>
        <v>6.5</v>
      </c>
      <c r="B30" s="13"/>
      <c r="C30" s="13">
        <f t="shared" si="2"/>
        <v>1.56</v>
      </c>
      <c r="D30" s="13"/>
    </row>
    <row r="31" spans="1:4" x14ac:dyDescent="0.25">
      <c r="A31" s="13">
        <f t="shared" si="1"/>
        <v>7</v>
      </c>
      <c r="B31" s="13"/>
      <c r="C31" s="13">
        <f t="shared" si="2"/>
        <v>2.5</v>
      </c>
      <c r="D31" s="13">
        <f t="shared" ref="D31" si="3">2.5+2.2*(A31-7)-1.6*(A31-7)^2</f>
        <v>2.5</v>
      </c>
    </row>
    <row r="32" spans="1:4" x14ac:dyDescent="0.25">
      <c r="A32" s="13">
        <f t="shared" si="1"/>
        <v>7.5</v>
      </c>
      <c r="B32" s="13"/>
      <c r="C32" s="13"/>
      <c r="D32" s="13">
        <f>2.5+2.2*(A32-7)-1.6*(A32-7)^2</f>
        <v>3.2</v>
      </c>
    </row>
    <row r="33" spans="1:4" x14ac:dyDescent="0.25">
      <c r="A33" s="13">
        <f t="shared" si="1"/>
        <v>8</v>
      </c>
      <c r="B33" s="13"/>
      <c r="C33" s="13"/>
      <c r="D33" s="13">
        <f t="shared" ref="D33:D35" si="4">2.5+2.2*(A33-7)-1.6*(A33-7)^2</f>
        <v>3.1</v>
      </c>
    </row>
    <row r="34" spans="1:4" x14ac:dyDescent="0.25">
      <c r="A34" s="13">
        <f t="shared" si="1"/>
        <v>8.5</v>
      </c>
      <c r="B34" s="13"/>
      <c r="C34" s="13"/>
      <c r="D34" s="13">
        <f t="shared" si="4"/>
        <v>2.2000000000000006</v>
      </c>
    </row>
    <row r="35" spans="1:4" x14ac:dyDescent="0.25">
      <c r="A35" s="13">
        <f t="shared" si="1"/>
        <v>9</v>
      </c>
      <c r="B35" s="13"/>
      <c r="C35" s="13"/>
      <c r="D35" s="13">
        <f t="shared" si="4"/>
        <v>0.5</v>
      </c>
    </row>
    <row r="41" spans="1:4" x14ac:dyDescent="0.25">
      <c r="A41" t="s">
        <v>12</v>
      </c>
    </row>
    <row r="42" spans="1:4" x14ac:dyDescent="0.25">
      <c r="A42" t="s">
        <v>4</v>
      </c>
      <c r="B42" t="s">
        <v>5</v>
      </c>
      <c r="C42" t="s">
        <v>6</v>
      </c>
      <c r="D42" t="s">
        <v>7</v>
      </c>
    </row>
    <row r="44" spans="1:4" x14ac:dyDescent="0.25">
      <c r="A44" s="13">
        <v>3</v>
      </c>
      <c r="B44" s="13">
        <f>2.5-1.41977*(A44-3)+0.186565*(A44-3)^3</f>
        <v>2.5</v>
      </c>
      <c r="C44" s="13"/>
      <c r="D44" s="13"/>
    </row>
    <row r="45" spans="1:4" x14ac:dyDescent="0.25">
      <c r="A45" s="13">
        <f>+A44+0.5</f>
        <v>3.5</v>
      </c>
      <c r="B45" s="13">
        <f t="shared" ref="B45:B47" si="5">2.5-1.41977*(A45-3)+0.186565*(A45-3)^3</f>
        <v>1.8134356250000001</v>
      </c>
      <c r="C45" s="13"/>
      <c r="D45" s="13"/>
    </row>
    <row r="46" spans="1:4" x14ac:dyDescent="0.25">
      <c r="A46" s="13">
        <f t="shared" ref="A46:A56" si="6">+A45+0.5</f>
        <v>4</v>
      </c>
      <c r="B46" s="13">
        <f t="shared" si="5"/>
        <v>1.2667950000000001</v>
      </c>
      <c r="C46" s="13"/>
      <c r="D46" s="13"/>
    </row>
    <row r="47" spans="1:4" x14ac:dyDescent="0.25">
      <c r="A47" s="13">
        <f t="shared" si="6"/>
        <v>4.5</v>
      </c>
      <c r="B47" s="13">
        <f t="shared" si="5"/>
        <v>1.0000018749999999</v>
      </c>
      <c r="C47" s="13">
        <f>1-0.160456*(A47-4.5)+0.839543*(A47-4.5)^2-0.214144*(A47-4.5)^3</f>
        <v>1</v>
      </c>
      <c r="D47" s="13"/>
    </row>
    <row r="48" spans="1:4" x14ac:dyDescent="0.25">
      <c r="A48" s="13">
        <f t="shared" si="6"/>
        <v>5</v>
      </c>
      <c r="B48" s="13"/>
      <c r="C48" s="13">
        <f t="shared" ref="C48:C52" si="7">1-0.160456*(A48-4.5)+0.839543*(A48-4.5)^2-0.214144*(A48-4.5)^3</f>
        <v>1.1028897500000001</v>
      </c>
      <c r="D48" s="13"/>
    </row>
    <row r="49" spans="1:4" x14ac:dyDescent="0.25">
      <c r="A49" s="13">
        <f t="shared" si="6"/>
        <v>5.5</v>
      </c>
      <c r="B49" s="13"/>
      <c r="C49" s="13">
        <f t="shared" si="7"/>
        <v>1.4649429999999999</v>
      </c>
      <c r="D49" s="13"/>
    </row>
    <row r="50" spans="1:4" x14ac:dyDescent="0.25">
      <c r="A50" s="13">
        <f t="shared" si="6"/>
        <v>6</v>
      </c>
      <c r="B50" s="13"/>
      <c r="C50" s="13">
        <f t="shared" si="7"/>
        <v>1.9255517500000001</v>
      </c>
      <c r="D50" s="13"/>
    </row>
    <row r="51" spans="1:4" x14ac:dyDescent="0.25">
      <c r="A51" s="13">
        <f t="shared" si="6"/>
        <v>6.5</v>
      </c>
      <c r="B51" s="13"/>
      <c r="C51" s="13">
        <f t="shared" si="7"/>
        <v>2.3241079999999998</v>
      </c>
      <c r="D51" s="13"/>
    </row>
    <row r="52" spans="1:4" x14ac:dyDescent="0.25">
      <c r="A52" s="13">
        <f t="shared" si="6"/>
        <v>7</v>
      </c>
      <c r="B52" s="13"/>
      <c r="C52" s="13">
        <f t="shared" si="7"/>
        <v>2.5000037500000003</v>
      </c>
      <c r="D52" s="13">
        <f>2.5+0.022053*(A52-7)-0.7665399*(A52-7)^2+0.1277566*(A52-7)^3</f>
        <v>2.5</v>
      </c>
    </row>
    <row r="53" spans="1:4" x14ac:dyDescent="0.25">
      <c r="A53" s="13">
        <f t="shared" si="6"/>
        <v>7.5</v>
      </c>
      <c r="B53" s="13"/>
      <c r="C53" s="13"/>
      <c r="D53" s="13">
        <f t="shared" ref="D53:D56" si="8">2.5+0.022053*(A53-7)-0.7665399*(A53-7)^2+0.1277566*(A53-7)^3</f>
        <v>2.3353611000000001</v>
      </c>
    </row>
    <row r="54" spans="1:4" x14ac:dyDescent="0.25">
      <c r="A54" s="13">
        <f t="shared" si="6"/>
        <v>8</v>
      </c>
      <c r="B54" s="13"/>
      <c r="C54" s="13"/>
      <c r="D54" s="13">
        <f t="shared" si="8"/>
        <v>1.8832697</v>
      </c>
    </row>
    <row r="55" spans="1:4" x14ac:dyDescent="0.25">
      <c r="A55" s="13">
        <f t="shared" si="6"/>
        <v>8.5</v>
      </c>
      <c r="B55" s="13"/>
      <c r="C55" s="13"/>
      <c r="D55" s="13">
        <f t="shared" si="8"/>
        <v>1.2395432499999999</v>
      </c>
    </row>
    <row r="56" spans="1:4" x14ac:dyDescent="0.25">
      <c r="A56" s="13">
        <f t="shared" si="6"/>
        <v>9</v>
      </c>
      <c r="B56" s="13"/>
      <c r="C56" s="13"/>
      <c r="D56" s="13">
        <f t="shared" si="8"/>
        <v>0.49999919999999998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 4.5</vt:lpstr>
    </vt:vector>
  </TitlesOfParts>
  <Company>Razer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Cronin</dc:creator>
  <cp:lastModifiedBy>Duane Cronin</cp:lastModifiedBy>
  <dcterms:created xsi:type="dcterms:W3CDTF">2021-10-04T14:39:53Z</dcterms:created>
  <dcterms:modified xsi:type="dcterms:W3CDTF">2023-10-01T16:52:46Z</dcterms:modified>
</cp:coreProperties>
</file>