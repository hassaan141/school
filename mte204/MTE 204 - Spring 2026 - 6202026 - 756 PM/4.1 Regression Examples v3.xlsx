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361E03E0-510B-4B59-8C5F-426C229C4545}" xr6:coauthVersionLast="47" xr6:coauthVersionMax="47" xr10:uidLastSave="{00000000-0000-0000-0000-000000000000}"/>
  <bookViews>
    <workbookView xWindow="1956" yWindow="1092" windowWidth="26520" windowHeight="12648" xr2:uid="{00000000-000D-0000-FFFF-FFFF00000000}"/>
  </bookViews>
  <sheets>
    <sheet name="example 4.1" sheetId="1" r:id="rId1"/>
    <sheet name="example 4.2" sheetId="2" r:id="rId2"/>
    <sheet name="example 4.3" sheetId="3" r:id="rId3"/>
    <sheet name="Problem 18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4" l="1"/>
  <c r="N33" i="4"/>
  <c r="O43" i="4" s="1"/>
  <c r="N29" i="4"/>
  <c r="O40" i="4" s="1"/>
  <c r="I29" i="4"/>
  <c r="I34" i="4" s="1"/>
  <c r="I25" i="4"/>
  <c r="E40" i="4" l="1"/>
  <c r="I40" i="4" s="1"/>
  <c r="B56" i="4" s="1"/>
  <c r="B59" i="4" s="1"/>
  <c r="N7" i="3"/>
  <c r="J7" i="3" s="1"/>
  <c r="H15" i="3" l="1"/>
  <c r="G28" i="3" s="1"/>
  <c r="H12" i="3"/>
  <c r="H11" i="3"/>
  <c r="H10" i="3"/>
  <c r="H9" i="3"/>
  <c r="H8" i="3"/>
  <c r="H7" i="3"/>
  <c r="G12" i="3"/>
  <c r="F12" i="3"/>
  <c r="G11" i="3"/>
  <c r="F11" i="3"/>
  <c r="F15" i="3" s="1"/>
  <c r="G10" i="3"/>
  <c r="F10" i="3"/>
  <c r="G9" i="3"/>
  <c r="F9" i="3"/>
  <c r="G8" i="3"/>
  <c r="F8" i="3"/>
  <c r="F7" i="3"/>
  <c r="G7" i="3"/>
  <c r="A18" i="3"/>
  <c r="C26" i="3" s="1"/>
  <c r="E12" i="3"/>
  <c r="D12" i="3"/>
  <c r="D11" i="3"/>
  <c r="E10" i="3"/>
  <c r="D9" i="3"/>
  <c r="M8" i="3"/>
  <c r="B15" i="3"/>
  <c r="C27" i="3" s="1"/>
  <c r="E7" i="3"/>
  <c r="C15" i="3"/>
  <c r="G26" i="3" s="1"/>
  <c r="L8" i="2"/>
  <c r="L9" i="2" s="1"/>
  <c r="L10" i="2" s="1"/>
  <c r="L11" i="2" s="1"/>
  <c r="L12" i="2" s="1"/>
  <c r="L13" i="2" s="1"/>
  <c r="E11" i="2"/>
  <c r="D11" i="2"/>
  <c r="G11" i="2" s="1"/>
  <c r="E10" i="2"/>
  <c r="D10" i="2"/>
  <c r="G10" i="2" s="1"/>
  <c r="E9" i="2"/>
  <c r="D9" i="2"/>
  <c r="G9" i="2" s="1"/>
  <c r="E8" i="2"/>
  <c r="D8" i="2"/>
  <c r="G8" i="2" s="1"/>
  <c r="E7" i="2"/>
  <c r="D7" i="2"/>
  <c r="A18" i="1"/>
  <c r="E13" i="1"/>
  <c r="E12" i="1"/>
  <c r="E11" i="1"/>
  <c r="E10" i="1"/>
  <c r="E9" i="1"/>
  <c r="E15" i="1" s="1"/>
  <c r="E8" i="1"/>
  <c r="E7" i="1"/>
  <c r="D15" i="1"/>
  <c r="D13" i="1"/>
  <c r="D12" i="1"/>
  <c r="D11" i="1"/>
  <c r="D10" i="1"/>
  <c r="D9" i="1"/>
  <c r="D8" i="1"/>
  <c r="D7" i="1"/>
  <c r="C15" i="1"/>
  <c r="C18" i="1" s="1"/>
  <c r="B15" i="1"/>
  <c r="B18" i="1" s="1"/>
  <c r="G15" i="3" l="1"/>
  <c r="E28" i="3" s="1"/>
  <c r="C22" i="1"/>
  <c r="H13" i="1"/>
  <c r="H12" i="1"/>
  <c r="H11" i="1"/>
  <c r="H10" i="1"/>
  <c r="H9" i="1"/>
  <c r="H8" i="1"/>
  <c r="H7" i="1"/>
  <c r="H15" i="1" s="1"/>
  <c r="C23" i="1"/>
  <c r="G8" i="1" s="1"/>
  <c r="D26" i="3"/>
  <c r="D28" i="3"/>
  <c r="E27" i="3"/>
  <c r="M9" i="3"/>
  <c r="N8" i="3"/>
  <c r="J8" i="3" s="1"/>
  <c r="B18" i="3"/>
  <c r="D10" i="3"/>
  <c r="C18" i="3"/>
  <c r="D7" i="3"/>
  <c r="E9" i="3"/>
  <c r="D8" i="3"/>
  <c r="E8" i="3"/>
  <c r="E11" i="3"/>
  <c r="F9" i="2"/>
  <c r="F10" i="2"/>
  <c r="F11" i="2"/>
  <c r="C18" i="2"/>
  <c r="F8" i="2"/>
  <c r="E15" i="2"/>
  <c r="D15" i="2"/>
  <c r="D18" i="2" s="1"/>
  <c r="F7" i="2"/>
  <c r="G7" i="2"/>
  <c r="G15" i="2" s="1"/>
  <c r="G7" i="1" l="1"/>
  <c r="G10" i="1"/>
  <c r="G11" i="1"/>
  <c r="E18" i="2"/>
  <c r="J9" i="2" s="1"/>
  <c r="K10" i="3"/>
  <c r="K12" i="3"/>
  <c r="G9" i="1"/>
  <c r="G12" i="1"/>
  <c r="G13" i="1"/>
  <c r="M10" i="3"/>
  <c r="N9" i="3"/>
  <c r="J9" i="3" s="1"/>
  <c r="K7" i="3"/>
  <c r="K9" i="3"/>
  <c r="E15" i="3"/>
  <c r="K8" i="3"/>
  <c r="K11" i="3"/>
  <c r="D15" i="3"/>
  <c r="G27" i="3" s="1"/>
  <c r="J11" i="2"/>
  <c r="J8" i="2"/>
  <c r="J10" i="2"/>
  <c r="J7" i="2"/>
  <c r="F15" i="2"/>
  <c r="E22" i="2" s="1"/>
  <c r="M15" i="2" s="1"/>
  <c r="G15" i="1" l="1"/>
  <c r="D27" i="3"/>
  <c r="C28" i="3"/>
  <c r="E26" i="3"/>
  <c r="M11" i="3"/>
  <c r="N10" i="3"/>
  <c r="J10" i="3" s="1"/>
  <c r="K15" i="3"/>
  <c r="E23" i="2"/>
  <c r="J15" i="2"/>
  <c r="C29" i="1" l="1"/>
  <c r="C30" i="1" s="1"/>
  <c r="M12" i="3"/>
  <c r="N11" i="3"/>
  <c r="J11" i="3" s="1"/>
  <c r="I11" i="2"/>
  <c r="E24" i="2"/>
  <c r="M16" i="2" s="1"/>
  <c r="I8" i="2"/>
  <c r="I9" i="2"/>
  <c r="I10" i="2"/>
  <c r="I7" i="2"/>
  <c r="I15" i="2" l="1"/>
  <c r="E29" i="2" s="1"/>
  <c r="E30" i="2" s="1"/>
  <c r="M12" i="2"/>
  <c r="M11" i="2"/>
  <c r="M9" i="2"/>
  <c r="M8" i="2"/>
  <c r="M7" i="2"/>
  <c r="M13" i="2"/>
  <c r="M10" i="2"/>
  <c r="M13" i="3"/>
  <c r="N13" i="3" s="1"/>
  <c r="N12" i="3"/>
  <c r="J12" i="3" s="1"/>
  <c r="J15" i="3" s="1"/>
  <c r="C31" i="3" s="1"/>
  <c r="C32" i="3" s="1"/>
</calcChain>
</file>

<file path=xl/sharedStrings.xml><?xml version="1.0" encoding="utf-8"?>
<sst xmlns="http://schemas.openxmlformats.org/spreadsheetml/2006/main" count="103" uniqueCount="58">
  <si>
    <t>xi</t>
  </si>
  <si>
    <t>yi</t>
  </si>
  <si>
    <t>(yi-ao-a1xi)^2</t>
  </si>
  <si>
    <t>ybar</t>
  </si>
  <si>
    <t>sums -&gt;</t>
  </si>
  <si>
    <t>xi * yi</t>
  </si>
  <si>
    <t>xi^2</t>
  </si>
  <si>
    <t>a1</t>
  </si>
  <si>
    <t>n</t>
  </si>
  <si>
    <t>a0</t>
  </si>
  <si>
    <t>xbar</t>
  </si>
  <si>
    <t>Goodness of Fit</t>
  </si>
  <si>
    <t>Sr</t>
  </si>
  <si>
    <t>St</t>
  </si>
  <si>
    <t>r^2</t>
  </si>
  <si>
    <t xml:space="preserve">r </t>
  </si>
  <si>
    <t>(yi-ybar)^2</t>
  </si>
  <si>
    <t>Transformed values</t>
  </si>
  <si>
    <t>Xi*Yi</t>
  </si>
  <si>
    <t>Xi^2</t>
  </si>
  <si>
    <t>y</t>
  </si>
  <si>
    <t>x</t>
  </si>
  <si>
    <t>Xi=log(xi)</t>
  </si>
  <si>
    <t>Yi=log(yi)</t>
  </si>
  <si>
    <t>B2</t>
  </si>
  <si>
    <t>log(alpha2)</t>
  </si>
  <si>
    <t>alpha2</t>
  </si>
  <si>
    <t>Values from fit equation</t>
  </si>
  <si>
    <t>xi^4</t>
  </si>
  <si>
    <t>xi^3</t>
  </si>
  <si>
    <t>xi^2yi</t>
  </si>
  <si>
    <t>a2</t>
  </si>
  <si>
    <t>A matrix</t>
  </si>
  <si>
    <t>b1</t>
  </si>
  <si>
    <t>b2</t>
  </si>
  <si>
    <t>b3</t>
  </si>
  <si>
    <t>Initial Guesses</t>
  </si>
  <si>
    <t>Gauss-Seidel solution</t>
  </si>
  <si>
    <t>Data</t>
  </si>
  <si>
    <t>f(x)=ln(x)</t>
  </si>
  <si>
    <t>or</t>
  </si>
  <si>
    <t>bo</t>
  </si>
  <si>
    <t>x0</t>
  </si>
  <si>
    <t>x1</t>
  </si>
  <si>
    <t>x2</t>
  </si>
  <si>
    <t>x3</t>
  </si>
  <si>
    <t>General form:</t>
  </si>
  <si>
    <t>f3(x)</t>
  </si>
  <si>
    <t>Problem 18.5 (see also example 18.3 in the textbook)</t>
  </si>
  <si>
    <t>εt</t>
  </si>
  <si>
    <t>ln(10)</t>
  </si>
  <si>
    <t>%</t>
  </si>
  <si>
    <t xml:space="preserve"> </t>
  </si>
  <si>
    <t>Linear Regression Example</t>
  </si>
  <si>
    <t xml:space="preserve">Values calculated from </t>
  </si>
  <si>
    <t>fitted equation</t>
  </si>
  <si>
    <t>Linearizing a nonlinear equation, then applying linear regression</t>
  </si>
  <si>
    <t>Example 4.3: Polynomial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</si>
</sst>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2" fillId="0" borderId="0" xfId="0" applyFont="1" applyAlignment="1">
      <alignment horizontal="left" vertical="center" indent="2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195387081039653"/>
                  <c:y val="-2.45268093950501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4.1'!$B$7:$B$13</c:f>
              <c:numCache>
                <c:formatCode>0.0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'example 4.1'!$C$7:$C$13</c:f>
              <c:numCache>
                <c:formatCode>0.0</c:formatCode>
                <c:ptCount val="7"/>
                <c:pt idx="0">
                  <c:v>0.5</c:v>
                </c:pt>
                <c:pt idx="1">
                  <c:v>2.5</c:v>
                </c:pt>
                <c:pt idx="2">
                  <c:v>2</c:v>
                </c:pt>
                <c:pt idx="3">
                  <c:v>4</c:v>
                </c:pt>
                <c:pt idx="4">
                  <c:v>3.5</c:v>
                </c:pt>
                <c:pt idx="5">
                  <c:v>6</c:v>
                </c:pt>
                <c:pt idx="6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5-4078-A50E-02716805F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678390201224847"/>
                  <c:y val="1.45158938466025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4.1'!$B$7:$B$13</c:f>
              <c:numCache>
                <c:formatCode>0.0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'example 4.1'!$C$7:$C$13</c:f>
              <c:numCache>
                <c:formatCode>0.0</c:formatCode>
                <c:ptCount val="7"/>
                <c:pt idx="0">
                  <c:v>0.5</c:v>
                </c:pt>
                <c:pt idx="1">
                  <c:v>2.5</c:v>
                </c:pt>
                <c:pt idx="2">
                  <c:v>2</c:v>
                </c:pt>
                <c:pt idx="3">
                  <c:v>4</c:v>
                </c:pt>
                <c:pt idx="4">
                  <c:v>3.5</c:v>
                </c:pt>
                <c:pt idx="5">
                  <c:v>6</c:v>
                </c:pt>
                <c:pt idx="6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D-46F6-B426-34100382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50415573053368"/>
                  <c:y val="2.69327792359288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4.2'!$B$7:$B$13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'example 4.2'!$C$7:$C$13</c:f>
              <c:numCache>
                <c:formatCode>General</c:formatCode>
                <c:ptCount val="7"/>
                <c:pt idx="0">
                  <c:v>0.5</c:v>
                </c:pt>
                <c:pt idx="1">
                  <c:v>1.7</c:v>
                </c:pt>
                <c:pt idx="2">
                  <c:v>3.4</c:v>
                </c:pt>
                <c:pt idx="3">
                  <c:v>5.7</c:v>
                </c:pt>
                <c:pt idx="4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3-4959-A133-CD03FD2D14FB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'example 4.2'!$L$7:$L$13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'example 4.2'!$M$7:$M$13</c:f>
              <c:numCache>
                <c:formatCode>General</c:formatCode>
                <c:ptCount val="7"/>
                <c:pt idx="0">
                  <c:v>0</c:v>
                </c:pt>
                <c:pt idx="1">
                  <c:v>0.50093364909774885</c:v>
                </c:pt>
                <c:pt idx="2">
                  <c:v>1.6869475024273697</c:v>
                </c:pt>
                <c:pt idx="3">
                  <c:v>3.4321383841328941</c:v>
                </c:pt>
                <c:pt idx="4">
                  <c:v>5.6809756762629302</c:v>
                </c:pt>
                <c:pt idx="5">
                  <c:v>8.3981280323709804</c:v>
                </c:pt>
                <c:pt idx="6">
                  <c:v>11.558092145589329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89-43CD-AF2F-EA8B0C3E9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678390201224847"/>
                  <c:y val="1.45158938466025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4.2'!$D$7:$D$13</c:f>
              <c:numCache>
                <c:formatCode>0.0</c:formatCode>
                <c:ptCount val="7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</c:numCache>
            </c:numRef>
          </c:xVal>
          <c:yVal>
            <c:numRef>
              <c:f>'example 4.2'!$E$7:$E$13</c:f>
              <c:numCache>
                <c:formatCode>0.0</c:formatCode>
                <c:ptCount val="7"/>
                <c:pt idx="0">
                  <c:v>-0.3010299956639812</c:v>
                </c:pt>
                <c:pt idx="1">
                  <c:v>0.23044892137827391</c:v>
                </c:pt>
                <c:pt idx="2">
                  <c:v>0.53147891704225514</c:v>
                </c:pt>
                <c:pt idx="3">
                  <c:v>0.75587485567249146</c:v>
                </c:pt>
                <c:pt idx="4">
                  <c:v>0.9242792860618817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6-46D6-90F2-B929A38E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'example 4.2'!$B$7:$B$13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'example 4.2'!$C$7:$C$13</c:f>
              <c:numCache>
                <c:formatCode>General</c:formatCode>
                <c:ptCount val="7"/>
                <c:pt idx="0">
                  <c:v>0.5</c:v>
                </c:pt>
                <c:pt idx="1">
                  <c:v>1.7</c:v>
                </c:pt>
                <c:pt idx="2">
                  <c:v>3.4</c:v>
                </c:pt>
                <c:pt idx="3">
                  <c:v>5.7</c:v>
                </c:pt>
                <c:pt idx="4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4-40B9-BD72-0A219A9DE84F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'example 4.2'!$L$7:$L$13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'example 4.2'!$M$7:$M$13</c:f>
              <c:numCache>
                <c:formatCode>General</c:formatCode>
                <c:ptCount val="7"/>
                <c:pt idx="0">
                  <c:v>0</c:v>
                </c:pt>
                <c:pt idx="1">
                  <c:v>0.50093364909774885</c:v>
                </c:pt>
                <c:pt idx="2">
                  <c:v>1.6869475024273697</c:v>
                </c:pt>
                <c:pt idx="3">
                  <c:v>3.4321383841328941</c:v>
                </c:pt>
                <c:pt idx="4">
                  <c:v>5.6809756762629302</c:v>
                </c:pt>
                <c:pt idx="5">
                  <c:v>8.3981280323709804</c:v>
                </c:pt>
                <c:pt idx="6">
                  <c:v>11.558092145589329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64-40B9-BD72-0A219A9D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2780555555555562"/>
                  <c:y val="8.33333333333333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4.3'!$B$7:$B$13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'example 4.3'!$C$7:$C$13</c:f>
              <c:numCache>
                <c:formatCode>General</c:formatCode>
                <c:ptCount val="7"/>
                <c:pt idx="0">
                  <c:v>2.1</c:v>
                </c:pt>
                <c:pt idx="1">
                  <c:v>7.7</c:v>
                </c:pt>
                <c:pt idx="2">
                  <c:v>13.6</c:v>
                </c:pt>
                <c:pt idx="3">
                  <c:v>27.2</c:v>
                </c:pt>
                <c:pt idx="4">
                  <c:v>40.9</c:v>
                </c:pt>
                <c:pt idx="5">
                  <c:v>61.1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8-41B5-A1FA-26D64138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678390201224847"/>
                  <c:y val="1.45158938466025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4.3'!$B$7:$B$13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'example 4.3'!$C$7:$C$13</c:f>
              <c:numCache>
                <c:formatCode>General</c:formatCode>
                <c:ptCount val="7"/>
                <c:pt idx="0">
                  <c:v>2.1</c:v>
                </c:pt>
                <c:pt idx="1">
                  <c:v>7.7</c:v>
                </c:pt>
                <c:pt idx="2">
                  <c:v>13.6</c:v>
                </c:pt>
                <c:pt idx="3">
                  <c:v>27.2</c:v>
                </c:pt>
                <c:pt idx="4">
                  <c:v>40.9</c:v>
                </c:pt>
                <c:pt idx="5">
                  <c:v>61.1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5-4A52-AE2B-C23915D8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'example 4.3'!$B$7:$B$13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'example 4.3'!$C$7:$C$13</c:f>
              <c:numCache>
                <c:formatCode>General</c:formatCode>
                <c:ptCount val="7"/>
                <c:pt idx="0">
                  <c:v>2.1</c:v>
                </c:pt>
                <c:pt idx="1">
                  <c:v>7.7</c:v>
                </c:pt>
                <c:pt idx="2">
                  <c:v>13.6</c:v>
                </c:pt>
                <c:pt idx="3">
                  <c:v>27.2</c:v>
                </c:pt>
                <c:pt idx="4">
                  <c:v>40.9</c:v>
                </c:pt>
                <c:pt idx="5">
                  <c:v>61.1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4-44C6-8C5A-FF1E7CEDBA5D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'example 4.3'!$M$7:$M$13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'example 4.3'!$N$7:$N$13</c:f>
              <c:numCache>
                <c:formatCode>0.000</c:formatCode>
                <c:ptCount val="7"/>
                <c:pt idx="0">
                  <c:v>2.4785707718185392</c:v>
                </c:pt>
                <c:pt idx="1">
                  <c:v>6.6985713942834773</c:v>
                </c:pt>
                <c:pt idx="2">
                  <c:v>14.6400003124921</c:v>
                </c:pt>
                <c:pt idx="3">
                  <c:v>26.302857526444413</c:v>
                </c:pt>
                <c:pt idx="4">
                  <c:v>41.687143036140405</c:v>
                </c:pt>
                <c:pt idx="5">
                  <c:v>60.79285684158009</c:v>
                </c:pt>
                <c:pt idx="6">
                  <c:v>83.619998942763459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74-44C6-8C5A-FF1E7CED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'Problem 18.5'!$B$5:$B$8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</c:numCache>
            </c:numRef>
          </c:xVal>
          <c:yVal>
            <c:numRef>
              <c:f>'Problem 18.5'!$C$5:$C$8</c:f>
              <c:numCache>
                <c:formatCode>General</c:formatCode>
                <c:ptCount val="4"/>
                <c:pt idx="0">
                  <c:v>2.0794415000000002</c:v>
                </c:pt>
                <c:pt idx="1">
                  <c:v>2.1972246000000002</c:v>
                </c:pt>
                <c:pt idx="2">
                  <c:v>2.3978953000000001</c:v>
                </c:pt>
                <c:pt idx="3">
                  <c:v>2.4849066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1C-47D7-9104-9C17B107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08144"/>
        <c:axId val="1587410640"/>
      </c:scatterChart>
      <c:valAx>
        <c:axId val="1587408144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10640"/>
        <c:crosses val="autoZero"/>
        <c:crossBetween val="midCat"/>
      </c:valAx>
      <c:valAx>
        <c:axId val="15874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5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image" Target="../media/image5.png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chart" Target="../charts/chart9.xml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445773</xdr:colOff>
      <xdr:row>0</xdr:row>
      <xdr:rowOff>86203</xdr:rowOff>
    </xdr:from>
    <xdr:to>
      <xdr:col>15</xdr:col>
      <xdr:colOff>483873</xdr:colOff>
      <xdr:row>15</xdr:row>
      <xdr:rowOff>110968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450532</xdr:colOff>
      <xdr:row>15</xdr:row>
      <xdr:rowOff>163830</xdr:rowOff>
    </xdr:from>
    <xdr:to>
      <xdr:col>15</xdr:col>
      <xdr:colOff>488632</xdr:colOff>
      <xdr:row>31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609601</xdr:colOff>
      <xdr:row>19</xdr:row>
      <xdr:rowOff>33395</xdr:rowOff>
    </xdr:from>
    <xdr:to>
      <xdr:col>5</xdr:col>
      <xdr:colOff>390526</xdr:colOff>
      <xdr:row>22</xdr:row>
      <xdr:rowOff>19050</xdr:rowOff>
    </xdr:to>
    <xdr:pic>
      <xdr:nvPicPr>
        <xdr:cNvPr id="4" name="Picture 3" descr="C:\Users\dscro\AppData\Roaming\PixelMetrics\CaptureWiz\Temp\3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1" y="3471920"/>
          <a:ext cx="1257300" cy="52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381000</xdr:colOff>
      <xdr:row>26</xdr:row>
      <xdr:rowOff>57151</xdr:rowOff>
    </xdr:to>
    <xdr:pic>
      <xdr:nvPicPr>
        <xdr:cNvPr id="5" name="Picture 4" descr="C:\Users\dscro\AppData\Roaming\PixelMetrics\CaptureWiz\Temp\37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4162425"/>
          <a:ext cx="1209675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642938</xdr:colOff>
      <xdr:row>28</xdr:row>
      <xdr:rowOff>76200</xdr:rowOff>
    </xdr:from>
    <xdr:to>
      <xdr:col>5</xdr:col>
      <xdr:colOff>376238</xdr:colOff>
      <xdr:row>33</xdr:row>
      <xdr:rowOff>9526</xdr:rowOff>
    </xdr:to>
    <xdr:pic>
      <xdr:nvPicPr>
        <xdr:cNvPr id="6" name="Picture 5" descr="C:\Users\dscro\AppData\Roaming\PixelMetrics\CaptureWiz\Temp\3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6038" y="5143500"/>
          <a:ext cx="1209675" cy="838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404816</xdr:colOff>
      <xdr:row>1</xdr:row>
      <xdr:rowOff>111920</xdr:rowOff>
    </xdr:from>
    <xdr:to>
      <xdr:col>20</xdr:col>
      <xdr:colOff>442916</xdr:colOff>
      <xdr:row>16</xdr:row>
      <xdr:rowOff>140495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423861</xdr:colOff>
      <xdr:row>17</xdr:row>
      <xdr:rowOff>33336</xdr:rowOff>
    </xdr:from>
    <xdr:to>
      <xdr:col>20</xdr:col>
      <xdr:colOff>600074</xdr:colOff>
      <xdr:row>32</xdr:row>
      <xdr:rowOff>166686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609601</xdr:colOff>
      <xdr:row>19</xdr:row>
      <xdr:rowOff>33395</xdr:rowOff>
    </xdr:from>
    <xdr:to>
      <xdr:col>7</xdr:col>
      <xdr:colOff>390526</xdr:colOff>
      <xdr:row>22</xdr:row>
      <xdr:rowOff>19050</xdr:rowOff>
    </xdr:to>
    <xdr:pic>
      <xdr:nvPicPr>
        <xdr:cNvPr id="4" name="Picture 3" descr="C:\Users\dscro\AppData\Roaming\PixelMetrics\CaptureWiz\Temp\36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1" y="3471920"/>
          <a:ext cx="1257300" cy="52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381000</xdr:colOff>
      <xdr:row>26</xdr:row>
      <xdr:rowOff>57151</xdr:rowOff>
    </xdr:to>
    <xdr:pic>
      <xdr:nvPicPr>
        <xdr:cNvPr id="5" name="Picture 4" descr="C:\Users\dscro\AppData\Roaming\PixelMetrics\CaptureWiz\Temp\37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4162425"/>
          <a:ext cx="1209675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642938</xdr:colOff>
      <xdr:row>28</xdr:row>
      <xdr:rowOff>76200</xdr:rowOff>
    </xdr:from>
    <xdr:to>
      <xdr:col>7</xdr:col>
      <xdr:colOff>376238</xdr:colOff>
      <xdr:row>33</xdr:row>
      <xdr:rowOff>9526</xdr:rowOff>
    </xdr:to>
    <xdr:pic>
      <xdr:nvPicPr>
        <xdr:cNvPr id="6" name="Picture 5" descr="C:\Users\dscro\AppData\Roaming\PixelMetrics\CaptureWiz\Temp\38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6038" y="5143500"/>
          <a:ext cx="1209675" cy="838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409575</xdr:colOff>
      <xdr:row>33</xdr:row>
      <xdr:rowOff>166688</xdr:rowOff>
    </xdr:from>
    <xdr:to>
      <xdr:col>20</xdr:col>
      <xdr:colOff>447675</xdr:colOff>
      <xdr:row>49</xdr:row>
      <xdr:rowOff>14288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61912</xdr:colOff>
      <xdr:row>1</xdr:row>
      <xdr:rowOff>47625</xdr:rowOff>
    </xdr:from>
    <xdr:to>
      <xdr:col>4</xdr:col>
      <xdr:colOff>366712</xdr:colOff>
      <xdr:row>3</xdr:row>
      <xdr:rowOff>120015</xdr:rowOff>
    </xdr:to>
    <xdr:pic>
      <xdr:nvPicPr>
        <xdr:cNvPr id="12" name="Picture 11" descr="C:\Users\dscro\AppData\Roaming\PixelMetrics\CaptureWiz\Temp\4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012" y="228600"/>
          <a:ext cx="952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100965</xdr:colOff>
      <xdr:row>21</xdr:row>
      <xdr:rowOff>4762</xdr:rowOff>
    </xdr:from>
    <xdr:to>
      <xdr:col>2</xdr:col>
      <xdr:colOff>405765</xdr:colOff>
      <xdr:row>23</xdr:row>
      <xdr:rowOff>82867</xdr:rowOff>
    </xdr:to>
    <xdr:pic>
      <xdr:nvPicPr>
        <xdr:cNvPr id="13" name="Picture 12" descr="C:\Users\dscro\AppData\Roaming\PixelMetrics\CaptureWiz\Temp\4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" y="3860482"/>
          <a:ext cx="944880" cy="443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628650</xdr:colOff>
      <xdr:row>0</xdr:row>
      <xdr:rowOff>19050</xdr:rowOff>
    </xdr:from>
    <xdr:to>
      <xdr:col>12</xdr:col>
      <xdr:colOff>293370</xdr:colOff>
      <xdr:row>2</xdr:row>
      <xdr:rowOff>97155</xdr:rowOff>
    </xdr:to>
    <xdr:pic>
      <xdr:nvPicPr>
        <xdr:cNvPr id="10" name="Picture 9" descr="C:\Users\dscro\AppData\Roaming\PixelMetrics\CaptureWiz\Temp\43.png">
          <a:extLst>
            <a:ext uri="{FF2B5EF4-FFF2-40B4-BE49-F238E27FC236}">
              <a16:creationId xmlns:a16="http://schemas.microsoft.com/office/drawing/2014/main" id="{45345295-939C-4085-9CA2-7243E375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9050"/>
          <a:ext cx="944880" cy="443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404816</xdr:colOff>
      <xdr:row>1</xdr:row>
      <xdr:rowOff>111920</xdr:rowOff>
    </xdr:from>
    <xdr:to>
      <xdr:col>21</xdr:col>
      <xdr:colOff>442916</xdr:colOff>
      <xdr:row>16</xdr:row>
      <xdr:rowOff>140495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423861</xdr:colOff>
      <xdr:row>17</xdr:row>
      <xdr:rowOff>33336</xdr:rowOff>
    </xdr:from>
    <xdr:to>
      <xdr:col>21</xdr:col>
      <xdr:colOff>600074</xdr:colOff>
      <xdr:row>32</xdr:row>
      <xdr:rowOff>166686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147638</xdr:colOff>
      <xdr:row>32</xdr:row>
      <xdr:rowOff>76200</xdr:rowOff>
    </xdr:from>
    <xdr:to>
      <xdr:col>3</xdr:col>
      <xdr:colOff>61913</xdr:colOff>
      <xdr:row>37</xdr:row>
      <xdr:rowOff>9526</xdr:rowOff>
    </xdr:to>
    <xdr:pic>
      <xdr:nvPicPr>
        <xdr:cNvPr id="6" name="Picture 5" descr="C:\Users\dscro\AppData\Roaming\PixelMetrics\CaptureWiz\Temp\38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8" y="5686425"/>
          <a:ext cx="1209675" cy="838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409575</xdr:colOff>
      <xdr:row>33</xdr:row>
      <xdr:rowOff>166688</xdr:rowOff>
    </xdr:from>
    <xdr:to>
      <xdr:col>21</xdr:col>
      <xdr:colOff>447675</xdr:colOff>
      <xdr:row>49</xdr:row>
      <xdr:rowOff>14288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76201</xdr:colOff>
      <xdr:row>21</xdr:row>
      <xdr:rowOff>9526</xdr:rowOff>
    </xdr:from>
    <xdr:to>
      <xdr:col>4</xdr:col>
      <xdr:colOff>767385</xdr:colOff>
      <xdr:row>24</xdr:row>
      <xdr:rowOff>93073</xdr:rowOff>
    </xdr:to>
    <xdr:pic>
      <xdr:nvPicPr>
        <xdr:cNvPr id="10" name="Picture 9" descr="C:\Users\dscro\AppData\Roaming\PixelMetrics\CaptureWiz\Temp\50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1" y="3448051"/>
          <a:ext cx="2024684" cy="626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113179</xdr:colOff>
      <xdr:row>3</xdr:row>
      <xdr:rowOff>85725</xdr:rowOff>
    </xdr:from>
    <xdr:to>
      <xdr:col>18</xdr:col>
      <xdr:colOff>151279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396122</xdr:colOff>
      <xdr:row>22</xdr:row>
      <xdr:rowOff>133350</xdr:rowOff>
    </xdr:from>
    <xdr:to>
      <xdr:col>2</xdr:col>
      <xdr:colOff>453272</xdr:colOff>
      <xdr:row>26</xdr:row>
      <xdr:rowOff>38101</xdr:rowOff>
    </xdr:to>
    <xdr:pic>
      <xdr:nvPicPr>
        <xdr:cNvPr id="8" name="Picture 7" descr="C:\Users\dscro\AppData\Roaming\PixelMetrics\CaptureWiz\Temp\12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122" y="4324350"/>
          <a:ext cx="1276350" cy="666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19050</xdr:rowOff>
    </xdr:from>
    <xdr:to>
      <xdr:col>9</xdr:col>
      <xdr:colOff>428625</xdr:colOff>
      <xdr:row>16</xdr:row>
      <xdr:rowOff>9525</xdr:rowOff>
    </xdr:to>
    <xdr:pic>
      <xdr:nvPicPr>
        <xdr:cNvPr id="11" name="Picture 10" descr="C:\Users\dscro\AppData\Roaming\PixelMetrics\CaptureWiz\Temp\4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"/>
          <a:ext cx="591502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18</xdr:row>
      <xdr:rowOff>47625</xdr:rowOff>
    </xdr:from>
    <xdr:to>
      <xdr:col>11</xdr:col>
      <xdr:colOff>228600</xdr:colOff>
      <xdr:row>22</xdr:row>
      <xdr:rowOff>9525</xdr:rowOff>
    </xdr:to>
    <xdr:pic>
      <xdr:nvPicPr>
        <xdr:cNvPr id="14" name="Picture 13" descr="C:\Users\dscro\AppData\Roaming\PixelMetrics\CaptureWiz\Temp\7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476625"/>
          <a:ext cx="6877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26</xdr:row>
      <xdr:rowOff>107219</xdr:rowOff>
    </xdr:from>
    <xdr:to>
      <xdr:col>5</xdr:col>
      <xdr:colOff>304800</xdr:colOff>
      <xdr:row>30</xdr:row>
      <xdr:rowOff>135795</xdr:rowOff>
    </xdr:to>
    <xdr:pic>
      <xdr:nvPicPr>
        <xdr:cNvPr id="18" name="Picture 17" descr="C:\Users\dscro\AppData\Roaming\PixelMetrics\CaptureWiz\Temp\13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5060219"/>
          <a:ext cx="1952625" cy="79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290542</xdr:colOff>
      <xdr:row>30</xdr:row>
      <xdr:rowOff>117760</xdr:rowOff>
    </xdr:from>
    <xdr:to>
      <xdr:col>6</xdr:col>
      <xdr:colOff>319117</xdr:colOff>
      <xdr:row>36</xdr:row>
      <xdr:rowOff>32036</xdr:rowOff>
    </xdr:to>
    <xdr:pic>
      <xdr:nvPicPr>
        <xdr:cNvPr id="19" name="Picture 18" descr="C:\Users\dscro\AppData\Roaming\PixelMetrics\CaptureWiz\Temp\14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42" y="5832760"/>
          <a:ext cx="3686175" cy="1057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43</xdr:row>
      <xdr:rowOff>95250</xdr:rowOff>
    </xdr:from>
    <xdr:to>
      <xdr:col>5</xdr:col>
      <xdr:colOff>190500</xdr:colOff>
      <xdr:row>46</xdr:row>
      <xdr:rowOff>95250</xdr:rowOff>
    </xdr:to>
    <xdr:pic>
      <xdr:nvPicPr>
        <xdr:cNvPr id="20" name="Picture 19" descr="C:\Users\dscro\AppData\Roaming\PixelMetrics\CaptureWiz\Temp\5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286750"/>
          <a:ext cx="28765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46</xdr:row>
      <xdr:rowOff>95250</xdr:rowOff>
    </xdr:from>
    <xdr:to>
      <xdr:col>10</xdr:col>
      <xdr:colOff>409575</xdr:colOff>
      <xdr:row>51</xdr:row>
      <xdr:rowOff>171450</xdr:rowOff>
    </xdr:to>
    <xdr:pic>
      <xdr:nvPicPr>
        <xdr:cNvPr id="21" name="Picture 20" descr="C:\Users\dscro\AppData\Roaming\PixelMetrics\CaptureWiz\Temp\6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858250"/>
          <a:ext cx="60579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</xdr:colOff>
      <xdr:row>38</xdr:row>
      <xdr:rowOff>0</xdr:rowOff>
    </xdr:from>
    <xdr:to>
      <xdr:col>13</xdr:col>
      <xdr:colOff>285750</xdr:colOff>
      <xdr:row>40</xdr:row>
      <xdr:rowOff>180975</xdr:rowOff>
    </xdr:to>
    <xdr:pic>
      <xdr:nvPicPr>
        <xdr:cNvPr id="27" name="Picture 26" descr="C:\Users\dscro\AppData\Roaming\PixelMetrics\CaptureWiz\Temp\8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7239000"/>
          <a:ext cx="14668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314325</xdr:colOff>
      <xdr:row>27</xdr:row>
      <xdr:rowOff>57150</xdr:rowOff>
    </xdr:from>
    <xdr:to>
      <xdr:col>2</xdr:col>
      <xdr:colOff>209550</xdr:colOff>
      <xdr:row>30</xdr:row>
      <xdr:rowOff>0</xdr:rowOff>
    </xdr:to>
    <xdr:pic>
      <xdr:nvPicPr>
        <xdr:cNvPr id="28" name="Picture 27" descr="C:\Users\dscro\AppData\Roaming\PixelMetrics\CaptureWiz\Temp\9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200650"/>
          <a:ext cx="11144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590550</xdr:colOff>
      <xdr:row>27</xdr:row>
      <xdr:rowOff>47625</xdr:rowOff>
    </xdr:from>
    <xdr:to>
      <xdr:col>12</xdr:col>
      <xdr:colOff>533400</xdr:colOff>
      <xdr:row>29</xdr:row>
      <xdr:rowOff>104775</xdr:rowOff>
    </xdr:to>
    <xdr:pic>
      <xdr:nvPicPr>
        <xdr:cNvPr id="29" name="Picture 28" descr="C:\Users\dscro\AppData\Roaming\PixelMetrics\CaptureWiz\Temp\10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5191125"/>
          <a:ext cx="11620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12</xdr:col>
      <xdr:colOff>495300</xdr:colOff>
      <xdr:row>33</xdr:row>
      <xdr:rowOff>171450</xdr:rowOff>
    </xdr:to>
    <xdr:pic>
      <xdr:nvPicPr>
        <xdr:cNvPr id="30" name="Picture 29" descr="C:\Users\dscro\AppData\Roaming\PixelMetrics\CaptureWiz\Temp\11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05500"/>
          <a:ext cx="11049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13</xdr:col>
      <xdr:colOff>238125</xdr:colOff>
      <xdr:row>44</xdr:row>
      <xdr:rowOff>76200</xdr:rowOff>
    </xdr:to>
    <xdr:pic>
      <xdr:nvPicPr>
        <xdr:cNvPr id="31" name="Picture 30" descr="C:\Users\dscro\AppData\Roaming\PixelMetrics\CaptureWiz\Temp\12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01000"/>
          <a:ext cx="145732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38</xdr:row>
      <xdr:rowOff>19050</xdr:rowOff>
    </xdr:from>
    <xdr:to>
      <xdr:col>3</xdr:col>
      <xdr:colOff>342900</xdr:colOff>
      <xdr:row>41</xdr:row>
      <xdr:rowOff>9525</xdr:rowOff>
    </xdr:to>
    <xdr:pic>
      <xdr:nvPicPr>
        <xdr:cNvPr id="32" name="Picture 31" descr="C:\Users\dscro\AppData\Roaming\PixelMetrics\CaptureWiz\Temp\13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258050"/>
          <a:ext cx="17716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D3" sqref="D3"/>
    </sheetView>
  </sheetViews>
  <sheetFormatPr defaultRowHeight="14.4" x14ac:dyDescent="0.3"/>
  <cols>
    <col min="5" max="5" width="11.5546875" bestFit="1" customWidth="1"/>
    <col min="7" max="7" width="13" bestFit="1" customWidth="1"/>
    <col min="8" max="8" width="11.6640625" bestFit="1" customWidth="1"/>
  </cols>
  <sheetData>
    <row r="1" spans="1:8" x14ac:dyDescent="0.3">
      <c r="A1" s="5" t="s">
        <v>53</v>
      </c>
      <c r="B1" s="5"/>
      <c r="C1" s="5"/>
    </row>
    <row r="2" spans="1:8" x14ac:dyDescent="0.3">
      <c r="C2" t="s">
        <v>52</v>
      </c>
      <c r="D2" t="s">
        <v>52</v>
      </c>
      <c r="E2" t="s">
        <v>52</v>
      </c>
    </row>
    <row r="3" spans="1:8" x14ac:dyDescent="0.3">
      <c r="B3" s="6"/>
      <c r="C3" s="6"/>
    </row>
    <row r="4" spans="1:8" x14ac:dyDescent="0.3">
      <c r="G4" t="s">
        <v>11</v>
      </c>
    </row>
    <row r="5" spans="1:8" ht="15" thickBot="1" x14ac:dyDescent="0.35">
      <c r="B5" s="29" t="s">
        <v>38</v>
      </c>
      <c r="C5" s="29"/>
      <c r="G5" s="2" t="s">
        <v>12</v>
      </c>
      <c r="H5" s="2" t="s">
        <v>13</v>
      </c>
    </row>
    <row r="6" spans="1:8" x14ac:dyDescent="0.3">
      <c r="B6" s="11" t="s">
        <v>0</v>
      </c>
      <c r="C6" s="12" t="s">
        <v>1</v>
      </c>
      <c r="D6" s="2" t="s">
        <v>5</v>
      </c>
      <c r="E6" s="2" t="s">
        <v>6</v>
      </c>
      <c r="G6" s="2" t="s">
        <v>2</v>
      </c>
      <c r="H6" s="2" t="s">
        <v>16</v>
      </c>
    </row>
    <row r="7" spans="1:8" x14ac:dyDescent="0.3">
      <c r="B7" s="13">
        <v>1</v>
      </c>
      <c r="C7" s="14">
        <v>0.5</v>
      </c>
      <c r="D7" s="4">
        <f t="shared" ref="D7:D13" si="0">+B7*C7</f>
        <v>0.5</v>
      </c>
      <c r="E7" s="4">
        <f t="shared" ref="E7:E13" si="1">+B7^2</f>
        <v>1</v>
      </c>
      <c r="F7" s="1"/>
      <c r="G7" s="3">
        <f t="shared" ref="G7:G13" si="2">(C7-$C$23-$C$22*B7)^2</f>
        <v>0.16868622448979573</v>
      </c>
      <c r="H7" s="3">
        <f t="shared" ref="H7:H13" si="3">(C7-$C$18)^2</f>
        <v>8.5765306122448965</v>
      </c>
    </row>
    <row r="8" spans="1:8" x14ac:dyDescent="0.3">
      <c r="B8" s="13">
        <v>2</v>
      </c>
      <c r="C8" s="14">
        <v>2.5</v>
      </c>
      <c r="D8" s="4">
        <f t="shared" si="0"/>
        <v>5</v>
      </c>
      <c r="E8" s="4">
        <f t="shared" si="1"/>
        <v>4</v>
      </c>
      <c r="F8" s="1"/>
      <c r="G8" s="3">
        <f t="shared" si="2"/>
        <v>0.56250000000000033</v>
      </c>
      <c r="H8" s="3">
        <f t="shared" si="3"/>
        <v>0.86224489795918335</v>
      </c>
    </row>
    <row r="9" spans="1:8" x14ac:dyDescent="0.3">
      <c r="B9" s="13">
        <v>3</v>
      </c>
      <c r="C9" s="14">
        <v>2</v>
      </c>
      <c r="D9" s="4">
        <f t="shared" si="0"/>
        <v>6</v>
      </c>
      <c r="E9" s="4">
        <f t="shared" si="1"/>
        <v>9</v>
      </c>
      <c r="F9" s="1"/>
      <c r="G9" s="3">
        <f t="shared" si="2"/>
        <v>0.34725765306122414</v>
      </c>
      <c r="H9" s="3">
        <f t="shared" si="3"/>
        <v>2.0408163265306118</v>
      </c>
    </row>
    <row r="10" spans="1:8" x14ac:dyDescent="0.3">
      <c r="B10" s="13">
        <v>4</v>
      </c>
      <c r="C10" s="14">
        <v>4</v>
      </c>
      <c r="D10" s="4">
        <f t="shared" si="0"/>
        <v>16</v>
      </c>
      <c r="E10" s="4">
        <f t="shared" si="1"/>
        <v>16</v>
      </c>
      <c r="F10" s="1"/>
      <c r="G10" s="3">
        <f t="shared" si="2"/>
        <v>0.32653061224489816</v>
      </c>
      <c r="H10" s="3">
        <f t="shared" si="3"/>
        <v>0.32653061224489816</v>
      </c>
    </row>
    <row r="11" spans="1:8" x14ac:dyDescent="0.3">
      <c r="B11" s="13">
        <v>5</v>
      </c>
      <c r="C11" s="14">
        <v>3.5</v>
      </c>
      <c r="D11" s="4">
        <f t="shared" si="0"/>
        <v>17.5</v>
      </c>
      <c r="E11" s="4">
        <f t="shared" si="1"/>
        <v>25</v>
      </c>
      <c r="F11" s="1"/>
      <c r="G11" s="3">
        <f t="shared" si="2"/>
        <v>0.58960459183673386</v>
      </c>
      <c r="H11" s="3">
        <f t="shared" si="3"/>
        <v>5.102040816326558E-3</v>
      </c>
    </row>
    <row r="12" spans="1:8" x14ac:dyDescent="0.3">
      <c r="B12" s="13">
        <v>6</v>
      </c>
      <c r="C12" s="14">
        <v>6</v>
      </c>
      <c r="D12" s="4">
        <f t="shared" si="0"/>
        <v>36</v>
      </c>
      <c r="E12" s="4">
        <f t="shared" si="1"/>
        <v>36</v>
      </c>
      <c r="F12" s="1"/>
      <c r="G12" s="3">
        <f t="shared" si="2"/>
        <v>0.79719387755102111</v>
      </c>
      <c r="H12" s="3">
        <f t="shared" si="3"/>
        <v>6.6122448979591848</v>
      </c>
    </row>
    <row r="13" spans="1:8" ht="15" thickBot="1" x14ac:dyDescent="0.35">
      <c r="B13" s="15">
        <v>7</v>
      </c>
      <c r="C13" s="16">
        <v>5.5</v>
      </c>
      <c r="D13" s="4">
        <f t="shared" si="0"/>
        <v>38.5</v>
      </c>
      <c r="E13" s="4">
        <f t="shared" si="1"/>
        <v>49</v>
      </c>
      <c r="F13" s="1"/>
      <c r="G13" s="3">
        <f t="shared" si="2"/>
        <v>0.19929846938775486</v>
      </c>
      <c r="H13" s="3">
        <f t="shared" si="3"/>
        <v>4.2908163265306127</v>
      </c>
    </row>
    <row r="14" spans="1:8" x14ac:dyDescent="0.3">
      <c r="B14" s="4"/>
      <c r="C14" s="4"/>
      <c r="D14" s="4"/>
      <c r="E14" s="4"/>
      <c r="F14" s="1"/>
      <c r="G14" s="3"/>
      <c r="H14" s="3"/>
    </row>
    <row r="15" spans="1:8" x14ac:dyDescent="0.3">
      <c r="A15" t="s">
        <v>4</v>
      </c>
      <c r="B15" s="4">
        <f>SUM(B7:B13)</f>
        <v>28</v>
      </c>
      <c r="C15" s="4">
        <f>SUM(C7:C13)</f>
        <v>24</v>
      </c>
      <c r="D15" s="4">
        <f>SUM(D7:D13)</f>
        <v>119.5</v>
      </c>
      <c r="E15" s="4">
        <f>SUM(E7:E13)</f>
        <v>140</v>
      </c>
      <c r="F15" s="1"/>
      <c r="G15" s="3">
        <f t="shared" ref="G15:H15" si="4">SUM(G7:G13)</f>
        <v>2.9910714285714279</v>
      </c>
      <c r="H15" s="3">
        <f t="shared" si="4"/>
        <v>22.714285714285715</v>
      </c>
    </row>
    <row r="17" spans="1:3" x14ac:dyDescent="0.3">
      <c r="A17" t="s">
        <v>8</v>
      </c>
      <c r="B17" t="s">
        <v>10</v>
      </c>
      <c r="C17" t="s">
        <v>3</v>
      </c>
    </row>
    <row r="18" spans="1:3" x14ac:dyDescent="0.3">
      <c r="A18">
        <f>COUNT(B7:B13)</f>
        <v>7</v>
      </c>
      <c r="B18">
        <f>+B15/7</f>
        <v>4</v>
      </c>
      <c r="C18">
        <f>+C15/7</f>
        <v>3.4285714285714284</v>
      </c>
    </row>
    <row r="22" spans="1:3" x14ac:dyDescent="0.3">
      <c r="B22" t="s">
        <v>7</v>
      </c>
      <c r="C22">
        <f>(A18*D15-B15*C15)/(A18*E15-(B15)^2)</f>
        <v>0.8392857142857143</v>
      </c>
    </row>
    <row r="23" spans="1:3" x14ac:dyDescent="0.3">
      <c r="B23" t="s">
        <v>9</v>
      </c>
      <c r="C23">
        <f>C18-C22*B18</f>
        <v>7.1428571428571175E-2</v>
      </c>
    </row>
    <row r="29" spans="1:3" x14ac:dyDescent="0.3">
      <c r="B29" t="s">
        <v>14</v>
      </c>
      <c r="C29">
        <f>+(H15-G15)/H15</f>
        <v>0.86831761006289321</v>
      </c>
    </row>
    <row r="30" spans="1:3" x14ac:dyDescent="0.3">
      <c r="B30" t="s">
        <v>15</v>
      </c>
      <c r="C30">
        <f>+SQRT(C29)</f>
        <v>0.93183561321881936</v>
      </c>
    </row>
  </sheetData>
  <mergeCells count="1">
    <mergeCell ref="B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"/>
  <sheetViews>
    <sheetView workbookViewId="0">
      <selection activeCell="A2" sqref="A2"/>
    </sheetView>
  </sheetViews>
  <sheetFormatPr defaultRowHeight="14.4" x14ac:dyDescent="0.3"/>
  <cols>
    <col min="7" max="7" width="11.5546875" bestFit="1" customWidth="1"/>
    <col min="9" max="9" width="13" bestFit="1" customWidth="1"/>
    <col min="10" max="10" width="11.6640625" bestFit="1" customWidth="1"/>
  </cols>
  <sheetData>
    <row r="1" spans="1:25" x14ac:dyDescent="0.3">
      <c r="A1" s="5" t="s">
        <v>56</v>
      </c>
    </row>
    <row r="3" spans="1:25" ht="15" thickBot="1" x14ac:dyDescent="0.35">
      <c r="D3" s="4"/>
    </row>
    <row r="4" spans="1:25" x14ac:dyDescent="0.3">
      <c r="I4" t="s">
        <v>11</v>
      </c>
      <c r="L4" s="21" t="s">
        <v>54</v>
      </c>
      <c r="M4" s="22"/>
    </row>
    <row r="5" spans="1:25" ht="15" thickBot="1" x14ac:dyDescent="0.35">
      <c r="B5" s="29" t="s">
        <v>38</v>
      </c>
      <c r="C5" s="29"/>
      <c r="D5" t="s">
        <v>17</v>
      </c>
      <c r="I5" s="2" t="s">
        <v>12</v>
      </c>
      <c r="J5" s="2" t="s">
        <v>13</v>
      </c>
      <c r="L5" s="23" t="s">
        <v>55</v>
      </c>
      <c r="M5" s="24"/>
    </row>
    <row r="6" spans="1:25" x14ac:dyDescent="0.3">
      <c r="B6" s="11" t="s">
        <v>0</v>
      </c>
      <c r="C6" s="12" t="s">
        <v>1</v>
      </c>
      <c r="D6" s="2" t="s">
        <v>22</v>
      </c>
      <c r="E6" s="2" t="s">
        <v>23</v>
      </c>
      <c r="F6" s="2" t="s">
        <v>18</v>
      </c>
      <c r="G6" s="2" t="s">
        <v>19</v>
      </c>
      <c r="I6" s="2" t="s">
        <v>2</v>
      </c>
      <c r="J6" s="2" t="s">
        <v>16</v>
      </c>
      <c r="L6" s="25" t="s">
        <v>21</v>
      </c>
      <c r="M6" s="26" t="s">
        <v>20</v>
      </c>
    </row>
    <row r="7" spans="1:25" x14ac:dyDescent="0.3">
      <c r="B7" s="17">
        <v>1</v>
      </c>
      <c r="C7" s="18">
        <v>0.5</v>
      </c>
      <c r="D7" s="4">
        <f>LOG(B7)</f>
        <v>0</v>
      </c>
      <c r="E7" s="4">
        <f t="shared" ref="E7:E11" si="0">LOG(C7)</f>
        <v>-0.3010299956639812</v>
      </c>
      <c r="F7" s="4">
        <f>+D7*E7</f>
        <v>0</v>
      </c>
      <c r="G7" s="4">
        <f>+D7^2</f>
        <v>0</v>
      </c>
      <c r="H7" s="1"/>
      <c r="I7" s="3">
        <f>(E7-$E$23-$E$22*D7)^2</f>
        <v>6.5642581280017742E-7</v>
      </c>
      <c r="J7" s="3">
        <f>(E7-$E$18)^2</f>
        <v>0.53179155014422097</v>
      </c>
      <c r="L7" s="23">
        <v>0</v>
      </c>
      <c r="M7" s="24">
        <f>+$E$24*L7^$E$22</f>
        <v>0</v>
      </c>
    </row>
    <row r="8" spans="1:25" x14ac:dyDescent="0.3">
      <c r="B8" s="17">
        <v>2</v>
      </c>
      <c r="C8" s="18">
        <v>1.7</v>
      </c>
      <c r="D8" s="4">
        <f t="shared" ref="D8:D11" si="1">LOG(B8)</f>
        <v>0.3010299956639812</v>
      </c>
      <c r="E8" s="4">
        <f t="shared" si="0"/>
        <v>0.23044892137827391</v>
      </c>
      <c r="F8" s="4">
        <f>+D8*E8</f>
        <v>6.9372037803270933E-2</v>
      </c>
      <c r="G8" s="4">
        <f>+D8^2</f>
        <v>9.0619058289456544E-2</v>
      </c>
      <c r="H8" s="1"/>
      <c r="I8" s="3">
        <f>(E8-$E$23-$E$22*D8)^2</f>
        <v>1.1204777214562446E-5</v>
      </c>
      <c r="J8" s="3">
        <f>(E8-$E$18)^2</f>
        <v>3.910960119981207E-2</v>
      </c>
      <c r="L8" s="23">
        <f>+L7+1</f>
        <v>1</v>
      </c>
      <c r="M8" s="24">
        <f t="shared" ref="M8:M13" si="2">+$E$24*L8^$E$22</f>
        <v>0.50093364909774885</v>
      </c>
    </row>
    <row r="9" spans="1:25" x14ac:dyDescent="0.3">
      <c r="B9" s="17">
        <v>3</v>
      </c>
      <c r="C9" s="18">
        <v>3.4</v>
      </c>
      <c r="D9" s="4">
        <f t="shared" si="1"/>
        <v>0.47712125471966244</v>
      </c>
      <c r="E9" s="4">
        <f t="shared" si="0"/>
        <v>0.53147891704225514</v>
      </c>
      <c r="F9" s="4">
        <f>+D9*E9</f>
        <v>0.25357988775624818</v>
      </c>
      <c r="G9" s="4">
        <f>+D9^2</f>
        <v>0.227644691705265</v>
      </c>
      <c r="H9" s="1"/>
      <c r="I9" s="3">
        <f>(E9-$E$23-$E$22*D9)^2</f>
        <v>1.6694360465025335E-5</v>
      </c>
      <c r="J9" s="3">
        <f>(E9-$E$18)^2</f>
        <v>1.0664387252746387E-2</v>
      </c>
      <c r="L9" s="23">
        <f t="shared" ref="L9:L13" si="3">+L8+1</f>
        <v>2</v>
      </c>
      <c r="M9" s="24">
        <f t="shared" si="2"/>
        <v>1.6869475024273697</v>
      </c>
    </row>
    <row r="10" spans="1:25" x14ac:dyDescent="0.3">
      <c r="B10" s="17">
        <v>4</v>
      </c>
      <c r="C10" s="18">
        <v>5.7</v>
      </c>
      <c r="D10" s="4">
        <f t="shared" si="1"/>
        <v>0.6020599913279624</v>
      </c>
      <c r="E10" s="4">
        <f t="shared" si="0"/>
        <v>0.75587485567249146</v>
      </c>
      <c r="F10" s="4">
        <f>+D10*E10</f>
        <v>0.45508200905120505</v>
      </c>
      <c r="G10" s="4">
        <f>+D10^2</f>
        <v>0.36247623315782618</v>
      </c>
      <c r="H10" s="1"/>
      <c r="I10" s="3">
        <f>(E10-$E$23-$E$22*D10)^2</f>
        <v>2.1080887377263594E-6</v>
      </c>
      <c r="J10" s="3">
        <f>(E10-$E$18)^2</f>
        <v>0.10736399754385971</v>
      </c>
      <c r="L10" s="23">
        <f t="shared" si="3"/>
        <v>3</v>
      </c>
      <c r="M10" s="24">
        <f t="shared" si="2"/>
        <v>3.4321383841328941</v>
      </c>
    </row>
    <row r="11" spans="1:25" ht="15" thickBot="1" x14ac:dyDescent="0.35">
      <c r="B11" s="19">
        <v>5</v>
      </c>
      <c r="C11" s="20">
        <v>8.4</v>
      </c>
      <c r="D11" s="4">
        <f t="shared" si="1"/>
        <v>0.69897000433601886</v>
      </c>
      <c r="E11" s="4">
        <f t="shared" si="0"/>
        <v>0.9242792860618817</v>
      </c>
      <c r="F11" s="4">
        <f>+D11*E11</f>
        <v>0.64604349658636584</v>
      </c>
      <c r="G11" s="4">
        <f>+D11^2</f>
        <v>0.4885590669614942</v>
      </c>
      <c r="H11" s="1"/>
      <c r="I11" s="3">
        <f>(E11-$E$23-$E$22*D11)^2</f>
        <v>9.3692216284606881E-9</v>
      </c>
      <c r="J11" s="3">
        <f>(E11-$E$18)^2</f>
        <v>0.2460843427961048</v>
      </c>
      <c r="L11" s="23">
        <f t="shared" si="3"/>
        <v>4</v>
      </c>
      <c r="M11" s="24">
        <f t="shared" si="2"/>
        <v>5.6809756762629302</v>
      </c>
    </row>
    <row r="12" spans="1:25" x14ac:dyDescent="0.3">
      <c r="D12" s="4"/>
      <c r="E12" s="4"/>
      <c r="F12" s="4"/>
      <c r="G12" s="4"/>
      <c r="H12" s="1"/>
      <c r="I12" s="3"/>
      <c r="J12" s="3"/>
      <c r="L12" s="23">
        <f t="shared" si="3"/>
        <v>5</v>
      </c>
      <c r="M12" s="24">
        <f t="shared" si="2"/>
        <v>8.3981280323709804</v>
      </c>
      <c r="V12">
        <v>1</v>
      </c>
      <c r="W12">
        <v>0.5</v>
      </c>
      <c r="X12">
        <v>0</v>
      </c>
    </row>
    <row r="13" spans="1:25" ht="15" thickBot="1" x14ac:dyDescent="0.35">
      <c r="D13" s="4"/>
      <c r="E13" s="4"/>
      <c r="F13" s="4"/>
      <c r="G13" s="4"/>
      <c r="H13" s="1"/>
      <c r="I13" s="3"/>
      <c r="J13" s="3"/>
      <c r="L13" s="27">
        <f t="shared" si="3"/>
        <v>6</v>
      </c>
      <c r="M13" s="28">
        <f t="shared" si="2"/>
        <v>11.558092145589329</v>
      </c>
      <c r="V13">
        <v>2</v>
      </c>
      <c r="W13">
        <v>1.7</v>
      </c>
      <c r="X13">
        <v>0.30099999999999999</v>
      </c>
      <c r="Y13">
        <v>0.22600000000000001</v>
      </c>
    </row>
    <row r="14" spans="1:25" x14ac:dyDescent="0.3">
      <c r="D14" s="4"/>
      <c r="E14" s="4"/>
      <c r="F14" s="4"/>
      <c r="G14" s="4"/>
      <c r="H14" s="1"/>
      <c r="I14" s="3"/>
      <c r="J14" s="3"/>
      <c r="V14">
        <v>3</v>
      </c>
      <c r="W14">
        <v>3.4</v>
      </c>
      <c r="X14">
        <v>0.47699999999999998</v>
      </c>
      <c r="Y14">
        <v>0.53400000000000003</v>
      </c>
    </row>
    <row r="15" spans="1:25" x14ac:dyDescent="0.3">
      <c r="A15" t="s">
        <v>4</v>
      </c>
      <c r="C15" t="s">
        <v>4</v>
      </c>
      <c r="D15" s="4">
        <f>SUM(D7:D13)</f>
        <v>2.0791812460476247</v>
      </c>
      <c r="E15" s="4">
        <f>SUM(E7:E13)</f>
        <v>2.1410519844909208</v>
      </c>
      <c r="F15" s="4">
        <f>SUM(F7:F13)</f>
        <v>1.4240774311970901</v>
      </c>
      <c r="G15" s="4">
        <f>SUM(G7:G13)</f>
        <v>1.1692990501140419</v>
      </c>
      <c r="H15" s="1"/>
      <c r="I15" s="3">
        <f t="shared" ref="I15:J15" si="4">SUM(I7:I13)</f>
        <v>3.0673021451742783E-5</v>
      </c>
      <c r="J15" s="3">
        <f t="shared" si="4"/>
        <v>0.93501387893674404</v>
      </c>
      <c r="L15" t="s">
        <v>24</v>
      </c>
      <c r="M15">
        <f>+E22</f>
        <v>1.7517236480773599</v>
      </c>
      <c r="V15">
        <v>4</v>
      </c>
      <c r="W15">
        <v>5.7</v>
      </c>
      <c r="X15">
        <v>0.60199999999999998</v>
      </c>
      <c r="Y15">
        <v>0.753</v>
      </c>
    </row>
    <row r="16" spans="1:25" x14ac:dyDescent="0.3">
      <c r="L16" t="s">
        <v>26</v>
      </c>
      <c r="M16">
        <f>+E24</f>
        <v>0.50093364909774885</v>
      </c>
      <c r="V16">
        <v>5</v>
      </c>
      <c r="W16">
        <v>8.4</v>
      </c>
      <c r="X16">
        <v>0.69899999999999995</v>
      </c>
      <c r="Y16">
        <v>0.92200000000000004</v>
      </c>
    </row>
    <row r="17" spans="3:5" x14ac:dyDescent="0.3">
      <c r="C17" t="s">
        <v>8</v>
      </c>
      <c r="D17" t="s">
        <v>10</v>
      </c>
      <c r="E17" t="s">
        <v>3</v>
      </c>
    </row>
    <row r="18" spans="3:5" x14ac:dyDescent="0.3">
      <c r="C18">
        <f>COUNT(D7:D13)</f>
        <v>5</v>
      </c>
      <c r="D18">
        <f>+D15/C18</f>
        <v>0.41583624920952494</v>
      </c>
      <c r="E18">
        <f>+E15/C18</f>
        <v>0.42821039689818419</v>
      </c>
    </row>
    <row r="22" spans="3:5" x14ac:dyDescent="0.3">
      <c r="D22" t="s">
        <v>24</v>
      </c>
      <c r="E22">
        <f>(C18*F15-D15*E15)/(C18*G15-(D15)^2)</f>
        <v>1.7517236480773599</v>
      </c>
    </row>
    <row r="23" spans="3:5" x14ac:dyDescent="0.3">
      <c r="D23" t="s">
        <v>25</v>
      </c>
      <c r="E23">
        <f>E18-E22*D18</f>
        <v>-0.30021979456993098</v>
      </c>
    </row>
    <row r="24" spans="3:5" x14ac:dyDescent="0.3">
      <c r="D24" t="s">
        <v>26</v>
      </c>
      <c r="E24">
        <f>10^E23</f>
        <v>0.50093364909774885</v>
      </c>
    </row>
    <row r="29" spans="3:5" x14ac:dyDescent="0.3">
      <c r="D29" t="s">
        <v>14</v>
      </c>
      <c r="E29">
        <f>+(J15-I15)/J15</f>
        <v>0.99996719511641197</v>
      </c>
    </row>
    <row r="30" spans="3:5" x14ac:dyDescent="0.3">
      <c r="D30" t="s">
        <v>15</v>
      </c>
      <c r="E30">
        <f>+SQRT(E29)</f>
        <v>0.9999835974236837</v>
      </c>
    </row>
  </sheetData>
  <mergeCells count="1">
    <mergeCell ref="B5:C5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workbookViewId="0">
      <selection activeCell="A3" sqref="A3"/>
    </sheetView>
  </sheetViews>
  <sheetFormatPr defaultRowHeight="14.4" x14ac:dyDescent="0.3"/>
  <cols>
    <col min="5" max="5" width="11.5546875" bestFit="1" customWidth="1"/>
    <col min="6" max="8" width="11.5546875" customWidth="1"/>
    <col min="10" max="10" width="13" bestFit="1" customWidth="1"/>
    <col min="11" max="11" width="11.6640625" bestFit="1" customWidth="1"/>
  </cols>
  <sheetData>
    <row r="1" spans="1:14" x14ac:dyDescent="0.3">
      <c r="A1" s="5" t="s">
        <v>57</v>
      </c>
    </row>
    <row r="3" spans="1:14" x14ac:dyDescent="0.3">
      <c r="B3" s="4"/>
    </row>
    <row r="4" spans="1:14" x14ac:dyDescent="0.3">
      <c r="J4" t="s">
        <v>11</v>
      </c>
      <c r="M4" t="s">
        <v>27</v>
      </c>
    </row>
    <row r="6" spans="1:14" x14ac:dyDescent="0.3">
      <c r="A6" s="2"/>
      <c r="B6" s="2" t="s">
        <v>0</v>
      </c>
      <c r="C6" s="2" t="s">
        <v>1</v>
      </c>
      <c r="D6" s="2" t="s">
        <v>5</v>
      </c>
      <c r="E6" s="2" t="s">
        <v>6</v>
      </c>
      <c r="F6" s="2" t="s">
        <v>29</v>
      </c>
      <c r="G6" s="2" t="s">
        <v>28</v>
      </c>
      <c r="H6" s="2" t="s">
        <v>30</v>
      </c>
      <c r="J6" s="2" t="s">
        <v>12</v>
      </c>
      <c r="K6" s="2" t="s">
        <v>13</v>
      </c>
      <c r="M6" s="2" t="s">
        <v>21</v>
      </c>
      <c r="N6" s="2" t="s">
        <v>20</v>
      </c>
    </row>
    <row r="7" spans="1:14" x14ac:dyDescent="0.3">
      <c r="A7" s="1"/>
      <c r="B7">
        <v>0</v>
      </c>
      <c r="C7">
        <v>2.1</v>
      </c>
      <c r="D7" s="4">
        <f t="shared" ref="D7:D12" si="0">+B7*C7</f>
        <v>0</v>
      </c>
      <c r="E7" s="4">
        <f t="shared" ref="E7:E12" si="1">+B7^2</f>
        <v>0</v>
      </c>
      <c r="F7" s="4">
        <f>+B7^3</f>
        <v>0</v>
      </c>
      <c r="G7" s="4">
        <f>+B7^4</f>
        <v>0</v>
      </c>
      <c r="H7" s="4">
        <f>+B7^2*C7</f>
        <v>0</v>
      </c>
      <c r="I7" s="1"/>
      <c r="J7" s="3">
        <f>+(C7-N7)^2</f>
        <v>0.14331582927528444</v>
      </c>
      <c r="K7" s="3">
        <f t="shared" ref="K7:K12" si="2">(C7-$C$18)^2</f>
        <v>544.44444444444434</v>
      </c>
      <c r="M7">
        <v>0</v>
      </c>
      <c r="N7" s="7">
        <f>+$F$32+$F$33*M7+$F$34*M7^2</f>
        <v>2.4785707718185392</v>
      </c>
    </row>
    <row r="8" spans="1:14" x14ac:dyDescent="0.3">
      <c r="A8" s="1"/>
      <c r="B8">
        <v>1</v>
      </c>
      <c r="C8">
        <v>7.7</v>
      </c>
      <c r="D8" s="4">
        <f t="shared" si="0"/>
        <v>7.7</v>
      </c>
      <c r="E8" s="4">
        <f t="shared" si="1"/>
        <v>1</v>
      </c>
      <c r="F8" s="4">
        <f t="shared" ref="F8:F12" si="3">+B8^3</f>
        <v>1</v>
      </c>
      <c r="G8" s="4">
        <f t="shared" ref="G8:G12" si="4">+B8^4</f>
        <v>1</v>
      </c>
      <c r="H8" s="4">
        <f t="shared" ref="H8:H12" si="5">+B8^2*C8</f>
        <v>7.7</v>
      </c>
      <c r="I8" s="1"/>
      <c r="J8" s="3">
        <f t="shared" ref="J8:J12" si="6">+(C8-N8)^2</f>
        <v>1.0028592523473392</v>
      </c>
      <c r="K8" s="3">
        <f t="shared" si="2"/>
        <v>314.47111111111116</v>
      </c>
      <c r="M8">
        <f>+M7+1</f>
        <v>1</v>
      </c>
      <c r="N8" s="7">
        <f t="shared" ref="N8:N13" si="7">+$F$32+$F$33*M8+$F$34*M8^2</f>
        <v>6.6985713942834773</v>
      </c>
    </row>
    <row r="9" spans="1:14" x14ac:dyDescent="0.3">
      <c r="A9" s="1"/>
      <c r="B9">
        <v>2</v>
      </c>
      <c r="C9">
        <v>13.6</v>
      </c>
      <c r="D9" s="4">
        <f t="shared" si="0"/>
        <v>27.2</v>
      </c>
      <c r="E9" s="4">
        <f t="shared" si="1"/>
        <v>4</v>
      </c>
      <c r="F9" s="4">
        <f t="shared" si="3"/>
        <v>8</v>
      </c>
      <c r="G9" s="4">
        <f t="shared" si="4"/>
        <v>16</v>
      </c>
      <c r="H9" s="4">
        <f t="shared" si="5"/>
        <v>54.4</v>
      </c>
      <c r="I9" s="1"/>
      <c r="J9" s="3">
        <f t="shared" si="6"/>
        <v>1.081600649983667</v>
      </c>
      <c r="K9" s="3">
        <f t="shared" si="2"/>
        <v>140.0277777777778</v>
      </c>
      <c r="M9">
        <f t="shared" ref="M9:M13" si="8">+M8+1</f>
        <v>2</v>
      </c>
      <c r="N9" s="7">
        <f t="shared" si="7"/>
        <v>14.6400003124921</v>
      </c>
    </row>
    <row r="10" spans="1:14" x14ac:dyDescent="0.3">
      <c r="A10" s="1"/>
      <c r="B10">
        <v>3</v>
      </c>
      <c r="C10">
        <v>27.2</v>
      </c>
      <c r="D10" s="4">
        <f t="shared" si="0"/>
        <v>81.599999999999994</v>
      </c>
      <c r="E10" s="4">
        <f t="shared" si="1"/>
        <v>9</v>
      </c>
      <c r="F10" s="4">
        <f t="shared" si="3"/>
        <v>27</v>
      </c>
      <c r="G10" s="4">
        <f t="shared" si="4"/>
        <v>81</v>
      </c>
      <c r="H10" s="4">
        <f t="shared" si="5"/>
        <v>244.79999999999998</v>
      </c>
      <c r="I10" s="1"/>
      <c r="J10" s="3">
        <f t="shared" si="6"/>
        <v>0.80486461785743602</v>
      </c>
      <c r="K10" s="3">
        <f t="shared" si="2"/>
        <v>3.1211111111111078</v>
      </c>
      <c r="M10">
        <f t="shared" si="8"/>
        <v>3</v>
      </c>
      <c r="N10" s="7">
        <f t="shared" si="7"/>
        <v>26.302857526444413</v>
      </c>
    </row>
    <row r="11" spans="1:14" x14ac:dyDescent="0.3">
      <c r="A11" s="1"/>
      <c r="B11">
        <v>4</v>
      </c>
      <c r="C11">
        <v>40.9</v>
      </c>
      <c r="D11" s="4">
        <f t="shared" si="0"/>
        <v>163.6</v>
      </c>
      <c r="E11" s="4">
        <f t="shared" si="1"/>
        <v>16</v>
      </c>
      <c r="F11" s="4">
        <f t="shared" si="3"/>
        <v>64</v>
      </c>
      <c r="G11" s="4">
        <f t="shared" si="4"/>
        <v>256</v>
      </c>
      <c r="H11" s="4">
        <f t="shared" si="5"/>
        <v>654.4</v>
      </c>
      <c r="I11" s="1"/>
      <c r="J11" s="3">
        <f t="shared" si="6"/>
        <v>0.61959415934433748</v>
      </c>
      <c r="K11" s="3">
        <f t="shared" si="2"/>
        <v>239.21777777777771</v>
      </c>
      <c r="M11">
        <f t="shared" si="8"/>
        <v>4</v>
      </c>
      <c r="N11" s="7">
        <f t="shared" si="7"/>
        <v>41.687143036140405</v>
      </c>
    </row>
    <row r="12" spans="1:14" x14ac:dyDescent="0.3">
      <c r="B12">
        <v>5</v>
      </c>
      <c r="C12">
        <v>61.1</v>
      </c>
      <c r="D12" s="4">
        <f t="shared" si="0"/>
        <v>305.5</v>
      </c>
      <c r="E12" s="4">
        <f t="shared" si="1"/>
        <v>25</v>
      </c>
      <c r="F12" s="4">
        <f t="shared" si="3"/>
        <v>125</v>
      </c>
      <c r="G12" s="4">
        <f t="shared" si="4"/>
        <v>625</v>
      </c>
      <c r="H12" s="4">
        <f t="shared" si="5"/>
        <v>1527.5</v>
      </c>
      <c r="I12" s="1"/>
      <c r="J12" s="3">
        <f t="shared" si="6"/>
        <v>9.4336919764159033E-2</v>
      </c>
      <c r="K12" s="3">
        <f t="shared" si="2"/>
        <v>1272.1111111111115</v>
      </c>
      <c r="M12">
        <f t="shared" si="8"/>
        <v>5</v>
      </c>
      <c r="N12" s="7">
        <f t="shared" si="7"/>
        <v>60.79285684158009</v>
      </c>
    </row>
    <row r="13" spans="1:14" x14ac:dyDescent="0.3">
      <c r="B13" s="4"/>
      <c r="C13" s="4"/>
      <c r="D13" s="4"/>
      <c r="E13" s="4"/>
      <c r="F13" s="4"/>
      <c r="G13" s="4"/>
      <c r="H13" s="4"/>
      <c r="I13" s="1"/>
      <c r="J13" s="3"/>
      <c r="K13" s="3"/>
      <c r="M13">
        <f t="shared" si="8"/>
        <v>6</v>
      </c>
      <c r="N13" s="7">
        <f t="shared" si="7"/>
        <v>83.619998942763459</v>
      </c>
    </row>
    <row r="14" spans="1:14" x14ac:dyDescent="0.3">
      <c r="B14" s="4"/>
      <c r="C14" s="4"/>
      <c r="D14" s="4"/>
      <c r="E14" s="4"/>
      <c r="F14" s="4"/>
      <c r="G14" s="4"/>
      <c r="H14" s="4"/>
      <c r="I14" s="1"/>
      <c r="J14" s="3"/>
      <c r="K14" s="3"/>
    </row>
    <row r="15" spans="1:14" x14ac:dyDescent="0.3">
      <c r="A15" t="s">
        <v>4</v>
      </c>
      <c r="B15" s="4">
        <f t="shared" ref="B15:H15" si="9">SUM(B7:B13)</f>
        <v>15</v>
      </c>
      <c r="C15" s="4">
        <f t="shared" si="9"/>
        <v>152.6</v>
      </c>
      <c r="D15" s="4">
        <f t="shared" si="9"/>
        <v>585.6</v>
      </c>
      <c r="E15" s="4">
        <f t="shared" si="9"/>
        <v>55</v>
      </c>
      <c r="F15" s="4">
        <f t="shared" si="9"/>
        <v>225</v>
      </c>
      <c r="G15" s="4">
        <f t="shared" si="9"/>
        <v>979</v>
      </c>
      <c r="H15" s="4">
        <f t="shared" si="9"/>
        <v>2488.8000000000002</v>
      </c>
      <c r="I15" s="1"/>
      <c r="J15" s="3">
        <f t="shared" ref="J15:K15" si="10">SUM(J7:J13)</f>
        <v>3.7465714285722234</v>
      </c>
      <c r="K15" s="3">
        <f t="shared" si="10"/>
        <v>2513.3933333333334</v>
      </c>
    </row>
    <row r="17" spans="1:7" x14ac:dyDescent="0.3">
      <c r="A17" t="s">
        <v>8</v>
      </c>
      <c r="B17" t="s">
        <v>10</v>
      </c>
      <c r="C17" t="s">
        <v>3</v>
      </c>
    </row>
    <row r="18" spans="1:7" x14ac:dyDescent="0.3">
      <c r="A18">
        <f>COUNT(B7:B13)</f>
        <v>6</v>
      </c>
      <c r="B18">
        <f>+B15/A18</f>
        <v>2.5</v>
      </c>
      <c r="C18">
        <f>+C15/A18</f>
        <v>25.433333333333334</v>
      </c>
    </row>
    <row r="21" spans="1:7" x14ac:dyDescent="0.3">
      <c r="C21" t="s">
        <v>32</v>
      </c>
      <c r="F21" t="s">
        <v>36</v>
      </c>
    </row>
    <row r="22" spans="1:7" x14ac:dyDescent="0.3">
      <c r="F22" t="s">
        <v>9</v>
      </c>
      <c r="G22" t="s">
        <v>33</v>
      </c>
    </row>
    <row r="23" spans="1:7" x14ac:dyDescent="0.3">
      <c r="F23" t="s">
        <v>7</v>
      </c>
      <c r="G23" t="s">
        <v>34</v>
      </c>
    </row>
    <row r="24" spans="1:7" x14ac:dyDescent="0.3">
      <c r="F24" t="s">
        <v>31</v>
      </c>
      <c r="G24" t="s">
        <v>35</v>
      </c>
    </row>
    <row r="26" spans="1:7" x14ac:dyDescent="0.3">
      <c r="C26">
        <f>+A18</f>
        <v>6</v>
      </c>
      <c r="D26" s="6">
        <f>+B15</f>
        <v>15</v>
      </c>
      <c r="E26" s="6">
        <f>+E15</f>
        <v>55</v>
      </c>
      <c r="F26">
        <v>1</v>
      </c>
      <c r="G26" s="6">
        <f>+C15</f>
        <v>152.6</v>
      </c>
    </row>
    <row r="27" spans="1:7" x14ac:dyDescent="0.3">
      <c r="C27" s="6">
        <f>+B15</f>
        <v>15</v>
      </c>
      <c r="D27" s="6">
        <f>+E15</f>
        <v>55</v>
      </c>
      <c r="E27" s="6">
        <f>+F15</f>
        <v>225</v>
      </c>
      <c r="F27">
        <v>1</v>
      </c>
      <c r="G27" s="6">
        <f>+D15</f>
        <v>585.6</v>
      </c>
    </row>
    <row r="28" spans="1:7" x14ac:dyDescent="0.3">
      <c r="C28" s="6">
        <f>+E15</f>
        <v>55</v>
      </c>
      <c r="D28" s="6">
        <f>+F15</f>
        <v>225</v>
      </c>
      <c r="E28" s="6">
        <f>+G15</f>
        <v>979</v>
      </c>
      <c r="F28">
        <v>1</v>
      </c>
      <c r="G28" s="6">
        <f>+H15</f>
        <v>2488.8000000000002</v>
      </c>
    </row>
    <row r="31" spans="1:7" x14ac:dyDescent="0.3">
      <c r="B31" t="s">
        <v>14</v>
      </c>
      <c r="C31">
        <f>+(K15-J15)/K15</f>
        <v>0.99850935729840451</v>
      </c>
      <c r="E31" s="8" t="s">
        <v>37</v>
      </c>
      <c r="F31" s="8"/>
    </row>
    <row r="32" spans="1:7" x14ac:dyDescent="0.3">
      <c r="B32" t="s">
        <v>15</v>
      </c>
      <c r="C32">
        <f>+SQRT(C31)</f>
        <v>0.99925440069003679</v>
      </c>
      <c r="E32" s="8" t="s">
        <v>9</v>
      </c>
      <c r="F32" s="8">
        <v>2.4785707718185392</v>
      </c>
    </row>
    <row r="33" spans="5:6" x14ac:dyDescent="0.3">
      <c r="E33" s="8" t="s">
        <v>7</v>
      </c>
      <c r="F33" s="8">
        <v>2.3592864745930942</v>
      </c>
    </row>
    <row r="34" spans="5:6" x14ac:dyDescent="0.3">
      <c r="E34" s="8" t="s">
        <v>31</v>
      </c>
      <c r="F34" s="8">
        <v>1.8607141478718432</v>
      </c>
    </row>
    <row r="35" spans="5:6" x14ac:dyDescent="0.3">
      <c r="E35" s="8"/>
      <c r="F35" s="8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zoomScale="85" zoomScaleNormal="85" workbookViewId="0">
      <selection activeCell="F5" sqref="F5"/>
    </sheetView>
  </sheetViews>
  <sheetFormatPr defaultRowHeight="14.4" x14ac:dyDescent="0.3"/>
  <sheetData>
    <row r="1" spans="1:4" x14ac:dyDescent="0.3">
      <c r="A1" s="5" t="s">
        <v>48</v>
      </c>
    </row>
    <row r="3" spans="1:4" x14ac:dyDescent="0.3">
      <c r="A3" t="s">
        <v>38</v>
      </c>
    </row>
    <row r="4" spans="1:4" x14ac:dyDescent="0.3">
      <c r="B4" t="s">
        <v>21</v>
      </c>
      <c r="C4" t="s">
        <v>39</v>
      </c>
      <c r="D4" s="9"/>
    </row>
    <row r="5" spans="1:4" x14ac:dyDescent="0.3">
      <c r="A5" t="s">
        <v>42</v>
      </c>
      <c r="B5">
        <v>8</v>
      </c>
      <c r="C5">
        <v>2.0794415000000002</v>
      </c>
    </row>
    <row r="6" spans="1:4" x14ac:dyDescent="0.3">
      <c r="A6" t="s">
        <v>43</v>
      </c>
      <c r="B6">
        <v>9</v>
      </c>
      <c r="C6">
        <v>2.1972246000000002</v>
      </c>
    </row>
    <row r="7" spans="1:4" x14ac:dyDescent="0.3">
      <c r="A7" t="s">
        <v>44</v>
      </c>
      <c r="B7">
        <v>11</v>
      </c>
      <c r="C7">
        <v>2.3978953000000001</v>
      </c>
    </row>
    <row r="8" spans="1:4" x14ac:dyDescent="0.3">
      <c r="A8" t="s">
        <v>45</v>
      </c>
      <c r="B8">
        <v>12</v>
      </c>
      <c r="C8">
        <v>2.4849066</v>
      </c>
    </row>
    <row r="11" spans="1:4" x14ac:dyDescent="0.3">
      <c r="A11" t="s">
        <v>46</v>
      </c>
    </row>
    <row r="18" spans="1:14" x14ac:dyDescent="0.3">
      <c r="A18" t="s">
        <v>40</v>
      </c>
    </row>
    <row r="25" spans="1:14" x14ac:dyDescent="0.3">
      <c r="H25" t="s">
        <v>41</v>
      </c>
      <c r="I25">
        <f>+C5</f>
        <v>2.0794415000000002</v>
      </c>
    </row>
    <row r="29" spans="1:14" x14ac:dyDescent="0.3">
      <c r="H29" t="s">
        <v>33</v>
      </c>
      <c r="I29">
        <f>+(C6-C5)/(B6-B5)</f>
        <v>0.11778310000000003</v>
      </c>
      <c r="N29">
        <f>+((C7-C6)/(B7-B6))</f>
        <v>0.10033534999999993</v>
      </c>
    </row>
    <row r="33" spans="5:15" x14ac:dyDescent="0.3">
      <c r="N33">
        <f>+((C8-C7)/(B8-B7))</f>
        <v>8.7011299999999903E-2</v>
      </c>
    </row>
    <row r="34" spans="5:15" x14ac:dyDescent="0.3">
      <c r="H34" t="s">
        <v>34</v>
      </c>
      <c r="I34">
        <f>+((C7-C6)/(B7-B6)-I29)/(B7-B5)</f>
        <v>-5.8159166666666984E-3</v>
      </c>
    </row>
    <row r="40" spans="5:15" x14ac:dyDescent="0.3">
      <c r="E40">
        <f>+(O43-O40)/(B8-B5)</f>
        <v>3.4364166666667195E-4</v>
      </c>
      <c r="H40" t="s">
        <v>35</v>
      </c>
      <c r="I40">
        <f>+E40</f>
        <v>3.4364166666667195E-4</v>
      </c>
      <c r="O40">
        <f>+(N29-I29)/(B7-B5)</f>
        <v>-5.8159166666666984E-3</v>
      </c>
    </row>
    <row r="43" spans="5:15" x14ac:dyDescent="0.3">
      <c r="O43">
        <f>+(N33-N29)/(B8-B6)</f>
        <v>-4.4413500000000106E-3</v>
      </c>
    </row>
    <row r="55" spans="1:4" x14ac:dyDescent="0.3">
      <c r="A55" t="s">
        <v>21</v>
      </c>
      <c r="B55" t="s">
        <v>47</v>
      </c>
      <c r="D55" t="s">
        <v>50</v>
      </c>
    </row>
    <row r="56" spans="1:4" x14ac:dyDescent="0.3">
      <c r="A56">
        <v>10</v>
      </c>
      <c r="B56">
        <f>+I25+I29*(A56-B5)+I34*(A56-B5)*(A56-B6)+I40*(A56-B5)*(A56-B6)*(A56-B7)</f>
        <v>2.3026885833333335</v>
      </c>
      <c r="D56">
        <f>LN(10)</f>
        <v>2.3025850929940459</v>
      </c>
    </row>
    <row r="59" spans="1:4" x14ac:dyDescent="0.3">
      <c r="A59" s="10" t="s">
        <v>49</v>
      </c>
      <c r="B59">
        <f>ABS(D56-B56)/D56*100</f>
        <v>4.494528328289212E-3</v>
      </c>
      <c r="C59" t="s">
        <v>51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4.1</vt:lpstr>
      <vt:lpstr>example 4.2</vt:lpstr>
      <vt:lpstr>example 4.3</vt:lpstr>
      <vt:lpstr>Problem 18.5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2021-09-29T15:16:18Z</dcterms:created>
  <dcterms:modified xsi:type="dcterms:W3CDTF">2026-06-01T17:02:32Z</dcterms:modified>
</cp:coreProperties>
</file>