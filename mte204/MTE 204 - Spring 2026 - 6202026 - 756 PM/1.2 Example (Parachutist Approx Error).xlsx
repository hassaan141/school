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documents\Course\MTE_204\Spring_2026\notes\"/>
    </mc:Choice>
  </mc:AlternateContent>
  <xr:revisionPtr revIDLastSave="0" documentId="13_ncr:1_{D21C1A72-1970-4E32-AE43-645D8A656E06}" xr6:coauthVersionLast="47" xr6:coauthVersionMax="47" xr10:uidLastSave="{00000000-0000-0000-0000-000000000000}"/>
  <bookViews>
    <workbookView xWindow="20688" yWindow="2040" windowWidth="20400" windowHeight="12120" xr2:uid="{00000000-000D-0000-FFFF-FFFF00000000}"/>
  </bookViews>
  <sheets>
    <sheet name="Example 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5" i="1" l="1"/>
  <c r="AF14" i="1"/>
  <c r="AE16" i="1"/>
  <c r="AE17" i="1" s="1"/>
  <c r="AE18" i="1" s="1"/>
  <c r="AE19" i="1" s="1"/>
  <c r="AE20" i="1" s="1"/>
  <c r="AE21" i="1" s="1"/>
  <c r="AE22" i="1" s="1"/>
  <c r="AE23" i="1" s="1"/>
  <c r="AE24" i="1" s="1"/>
  <c r="AF24" i="1" s="1"/>
  <c r="Y14" i="1"/>
  <c r="V14" i="1"/>
  <c r="T14" i="1"/>
  <c r="S16" i="1"/>
  <c r="S17" i="1" s="1"/>
  <c r="S18" i="1" s="1"/>
  <c r="S19" i="1" s="1"/>
  <c r="S20" i="1" s="1"/>
  <c r="S21" i="1" s="1"/>
  <c r="S22" i="1" s="1"/>
  <c r="S23" i="1" s="1"/>
  <c r="S24" i="1" s="1"/>
  <c r="AF16" i="1" l="1"/>
  <c r="AF19" i="1"/>
  <c r="AF20" i="1"/>
  <c r="AF18" i="1"/>
  <c r="AF22" i="1"/>
  <c r="AF21" i="1"/>
  <c r="AF23" i="1"/>
  <c r="AF17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K14" i="1"/>
  <c r="F14" i="1"/>
  <c r="B14" i="1"/>
  <c r="T15" i="1" s="1"/>
  <c r="U15" i="1" s="1"/>
  <c r="U16" i="1" l="1"/>
  <c r="F15" i="1"/>
  <c r="F16" i="1" s="1"/>
  <c r="F17" i="1" s="1"/>
  <c r="F18" i="1" s="1"/>
  <c r="K15" i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B15" i="1"/>
  <c r="T16" i="1" s="1"/>
  <c r="B16" i="1"/>
  <c r="B17" i="1" l="1"/>
  <c r="T17" i="1"/>
  <c r="U17" i="1" s="1"/>
  <c r="K64" i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Y15" i="1"/>
  <c r="F19" i="1"/>
  <c r="F20" i="1" s="1"/>
  <c r="F21" i="1" s="1"/>
  <c r="F22" i="1" s="1"/>
  <c r="F23" i="1" s="1"/>
  <c r="V15" i="1"/>
  <c r="W15" i="1" l="1"/>
  <c r="X15" i="1"/>
  <c r="F24" i="1"/>
  <c r="V16" i="1"/>
  <c r="Z15" i="1"/>
  <c r="AA15" i="1"/>
  <c r="K114" i="1"/>
  <c r="Y16" i="1"/>
  <c r="B18" i="1"/>
  <c r="T18" i="1"/>
  <c r="U18" i="1" s="1"/>
  <c r="B19" i="1" l="1"/>
  <c r="T19" i="1"/>
  <c r="U19" i="1" s="1"/>
  <c r="Z16" i="1"/>
  <c r="AA16" i="1"/>
  <c r="K115" i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W16" i="1"/>
  <c r="X16" i="1"/>
  <c r="F25" i="1"/>
  <c r="F26" i="1" s="1"/>
  <c r="F27" i="1" s="1"/>
  <c r="F28" i="1" s="1"/>
  <c r="F29" i="1" l="1"/>
  <c r="V17" i="1"/>
  <c r="K164" i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Y17" i="1"/>
  <c r="B20" i="1"/>
  <c r="T20" i="1"/>
  <c r="U20" i="1" s="1"/>
  <c r="B21" i="1" l="1"/>
  <c r="T21" i="1"/>
  <c r="U21" i="1" s="1"/>
  <c r="Z17" i="1"/>
  <c r="AA17" i="1"/>
  <c r="K214" i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Y18" i="1"/>
  <c r="W17" i="1"/>
  <c r="X17" i="1"/>
  <c r="F30" i="1"/>
  <c r="F31" i="1" s="1"/>
  <c r="F32" i="1" s="1"/>
  <c r="F33" i="1" s="1"/>
  <c r="F34" i="1" l="1"/>
  <c r="F35" i="1" s="1"/>
  <c r="F36" i="1" s="1"/>
  <c r="F37" i="1" s="1"/>
  <c r="F38" i="1" s="1"/>
  <c r="V18" i="1"/>
  <c r="Z18" i="1"/>
  <c r="AA18" i="1"/>
  <c r="K264" i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Y19" i="1"/>
  <c r="B22" i="1"/>
  <c r="T22" i="1"/>
  <c r="U22" i="1" s="1"/>
  <c r="B23" i="1" l="1"/>
  <c r="T23" i="1"/>
  <c r="U23" i="1" s="1"/>
  <c r="AA19" i="1"/>
  <c r="K314" i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Y20" i="1"/>
  <c r="W18" i="1"/>
  <c r="X18" i="1"/>
  <c r="F39" i="1"/>
  <c r="V19" i="1"/>
  <c r="W19" i="1" l="1"/>
  <c r="X19" i="1"/>
  <c r="F40" i="1"/>
  <c r="F41" i="1" s="1"/>
  <c r="F42" i="1" s="1"/>
  <c r="F43" i="1" s="1"/>
  <c r="AA20" i="1"/>
  <c r="K364" i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Y21" i="1"/>
  <c r="Z19" i="1"/>
  <c r="B24" i="1"/>
  <c r="T24" i="1"/>
  <c r="U24" i="1" s="1"/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AA21" i="1"/>
  <c r="K414" i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Y22" i="1"/>
  <c r="F44" i="1"/>
  <c r="V20" i="1"/>
  <c r="K464" i="1" l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Y23" i="1"/>
  <c r="W20" i="1"/>
  <c r="X20" i="1"/>
  <c r="Z20" i="1"/>
  <c r="AA22" i="1"/>
  <c r="B11" i="1"/>
  <c r="F45" i="1"/>
  <c r="F46" i="1" s="1"/>
  <c r="F47" i="1" s="1"/>
  <c r="F48" i="1" s="1"/>
  <c r="F49" i="1" l="1"/>
  <c r="F50" i="1" s="1"/>
  <c r="F51" i="1" s="1"/>
  <c r="F52" i="1" s="1"/>
  <c r="F53" i="1" s="1"/>
  <c r="V21" i="1"/>
  <c r="AA23" i="1"/>
  <c r="Y24" i="1"/>
  <c r="K11" i="1"/>
  <c r="AA24" i="1" l="1"/>
  <c r="W21" i="1"/>
  <c r="X21" i="1"/>
  <c r="Z21" i="1"/>
  <c r="F54" i="1"/>
  <c r="F55" i="1" s="1"/>
  <c r="F56" i="1" s="1"/>
  <c r="F57" i="1" s="1"/>
  <c r="F58" i="1" s="1"/>
  <c r="V22" i="1"/>
  <c r="W22" i="1" l="1"/>
  <c r="X22" i="1"/>
  <c r="Z22" i="1"/>
  <c r="F59" i="1"/>
  <c r="F60" i="1" s="1"/>
  <c r="F61" i="1" s="1"/>
  <c r="F62" i="1" s="1"/>
  <c r="F63" i="1" s="1"/>
  <c r="V23" i="1"/>
  <c r="W23" i="1" l="1"/>
  <c r="X23" i="1"/>
  <c r="Z23" i="1"/>
  <c r="V24" i="1"/>
  <c r="F11" i="1"/>
  <c r="W24" i="1" l="1"/>
  <c r="X24" i="1"/>
  <c r="Z24" i="1"/>
</calcChain>
</file>

<file path=xl/sharedStrings.xml><?xml version="1.0" encoding="utf-8"?>
<sst xmlns="http://schemas.openxmlformats.org/spreadsheetml/2006/main" count="46" uniqueCount="32">
  <si>
    <t>t(s)</t>
  </si>
  <si>
    <t>v(m/s)</t>
  </si>
  <si>
    <t>kg</t>
  </si>
  <si>
    <t>kg/s</t>
  </si>
  <si>
    <t>m/s^2</t>
  </si>
  <si>
    <t>initial condition</t>
  </si>
  <si>
    <t>v(s)</t>
  </si>
  <si>
    <t>mass (m)</t>
  </si>
  <si>
    <t>gravitational constant (g)</t>
  </si>
  <si>
    <t>Numerical, delta t=1</t>
  </si>
  <si>
    <t>Numerical, delta t=5</t>
  </si>
  <si>
    <t>Numerical, delta t=0.1</t>
  </si>
  <si>
    <t>Analytical</t>
  </si>
  <si>
    <t>Exact Solution</t>
  </si>
  <si>
    <t>Approximate (Numerical) Solution</t>
  </si>
  <si>
    <t>Parachutist reaching terminal velocity</t>
  </si>
  <si>
    <t>Example 1.1 (MTE 204)</t>
  </si>
  <si>
    <t xml:space="preserve">drag coefficient (C) </t>
  </si>
  <si>
    <t># steps to t=50</t>
  </si>
  <si>
    <t xml:space="preserve"> </t>
  </si>
  <si>
    <t>t</t>
  </si>
  <si>
    <r>
      <rPr>
        <sz val="11"/>
        <color theme="1"/>
        <rFont val="Calibri"/>
        <family val="2"/>
      </rPr>
      <t>Δ</t>
    </r>
    <r>
      <rPr>
        <sz val="12.1"/>
        <color theme="1"/>
        <rFont val="Calibri"/>
        <family val="2"/>
      </rPr>
      <t>t=5</t>
    </r>
  </si>
  <si>
    <r>
      <t>Δ</t>
    </r>
    <r>
      <rPr>
        <sz val="12.1"/>
        <color theme="1"/>
        <rFont val="Calibri"/>
        <family val="2"/>
      </rPr>
      <t>t=1</t>
    </r>
  </si>
  <si>
    <r>
      <t>Δ</t>
    </r>
    <r>
      <rPr>
        <sz val="12.1"/>
        <color theme="1"/>
        <rFont val="Calibri"/>
        <family val="2"/>
      </rPr>
      <t>t=.1</t>
    </r>
  </si>
  <si>
    <t>True</t>
  </si>
  <si>
    <t>ε_true (%)</t>
  </si>
  <si>
    <t>ε_approx (%)</t>
  </si>
  <si>
    <t>Δt=5, ε_true (%)</t>
  </si>
  <si>
    <t>Δt=1, ε_true (%)</t>
  </si>
  <si>
    <t>Δt=1, ε_approx (%)</t>
  </si>
  <si>
    <t>Δt=.1, ε_true (%)</t>
  </si>
  <si>
    <t>Δt=.1, ε_approx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</si>
</sst>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.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7" borderId="9" xfId="0" applyFont="1" applyFill="1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0" xfId="0" applyNumberFormat="1"/>
    <xf numFmtId="16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Parachutist</a:t>
            </a:r>
            <a:r>
              <a:rPr lang="en-US" baseline="0"/>
              <a:t> free-fall and reaching terminal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98004448803591E-2"/>
          <c:y val="0.12117596488518162"/>
          <c:w val="0.85261303189211823"/>
          <c:h val="0.780518115309809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'Example 1.1'!$E$10</c:f>
              <c:strCache>
                <c:ptCount val="1"/>
                <c:pt idx="0">
                  <c:v>Numerical, delta t=1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'Example 1.1'!$E$13:$E$64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'Example 1.1'!$F$13:$F$64</c:f>
              <c:numCache>
                <c:formatCode>General</c:formatCode>
                <c:ptCount val="52"/>
                <c:pt idx="0">
                  <c:v>0</c:v>
                </c:pt>
                <c:pt idx="1">
                  <c:v>9.81</c:v>
                </c:pt>
                <c:pt idx="2">
                  <c:v>17.819339207048458</c:v>
                </c:pt>
                <c:pt idx="3">
                  <c:v>24.358535387839858</c:v>
                </c:pt>
                <c:pt idx="4">
                  <c:v>29.697438583904496</c:v>
                </c:pt>
                <c:pt idx="5">
                  <c:v>34.056366890823639</c:v>
                </c:pt>
                <c:pt idx="6">
                  <c:v>37.615198225107115</c:v>
                </c:pt>
                <c:pt idx="7">
                  <c:v>40.520793264551479</c:v>
                </c:pt>
                <c:pt idx="8">
                  <c:v>42.893055881190342</c:v>
                </c:pt>
                <c:pt idx="9">
                  <c:v>44.829881159973318</c:v>
                </c:pt>
                <c:pt idx="10">
                  <c:v>46.411195190815221</c:v>
                </c:pt>
                <c:pt idx="11">
                  <c:v>47.702253342280855</c:v>
                </c:pt>
                <c:pt idx="12">
                  <c:v>48.756333125268952</c:v>
                </c:pt>
                <c:pt idx="13">
                  <c:v>49.616932771878908</c:v>
                </c:pt>
                <c:pt idx="14">
                  <c:v>50.319566257216849</c:v>
                </c:pt>
                <c:pt idx="15">
                  <c:v>50.893228838491289</c:v>
                </c:pt>
                <c:pt idx="16">
                  <c:v>51.361593589135325</c:v>
                </c:pt>
                <c:pt idx="17">
                  <c:v>51.743988304785958</c:v>
                </c:pt>
                <c:pt idx="18">
                  <c:v>52.056193094656379</c:v>
                </c:pt>
                <c:pt idx="19">
                  <c:v>52.311091572142359</c:v>
                </c:pt>
                <c:pt idx="20">
                  <c:v>52.519202517050147</c:v>
                </c:pt>
                <c:pt idx="21">
                  <c:v>52.689113949309665</c:v>
                </c:pt>
                <c:pt idx="22">
                  <c:v>52.827837526895998</c:v>
                </c:pt>
                <c:pt idx="23">
                  <c:v>52.94109789273741</c:v>
                </c:pt>
                <c:pt idx="24">
                  <c:v>53.033568910957413</c:v>
                </c:pt>
                <c:pt idx="25">
                  <c:v>53.109066541104731</c:v>
                </c:pt>
                <c:pt idx="26">
                  <c:v>53.170706309624421</c:v>
                </c:pt>
                <c:pt idx="27">
                  <c:v>53.22103187687398</c:v>
                </c:pt>
                <c:pt idx="28">
                  <c:v>53.262120005201076</c:v>
                </c:pt>
                <c:pt idx="29">
                  <c:v>53.295666259753006</c:v>
                </c:pt>
                <c:pt idx="30">
                  <c:v>53.323054978594229</c:v>
                </c:pt>
                <c:pt idx="31">
                  <c:v>53.345416399557109</c:v>
                </c:pt>
                <c:pt idx="32">
                  <c:v>53.363673301253677</c:v>
                </c:pt>
                <c:pt idx="33">
                  <c:v>53.378579082961885</c:v>
                </c:pt>
                <c:pt idx="34">
                  <c:v>53.390748854811761</c:v>
                </c:pt>
                <c:pt idx="35">
                  <c:v>53.400684821256007</c:v>
                </c:pt>
                <c:pt idx="36">
                  <c:v>53.408797005313275</c:v>
                </c:pt>
                <c:pt idx="37">
                  <c:v>53.415420168802029</c:v>
                </c:pt>
                <c:pt idx="38">
                  <c:v>53.420827626804595</c:v>
                </c:pt>
                <c:pt idx="39">
                  <c:v>53.425242526436648</c:v>
                </c:pt>
                <c:pt idx="40">
                  <c:v>53.42884705535797</c:v>
                </c:pt>
                <c:pt idx="41">
                  <c:v>53.431789960027942</c:v>
                </c:pt>
                <c:pt idx="42">
                  <c:v>53.434192683958202</c:v>
                </c:pt>
                <c:pt idx="43">
                  <c:v>53.436154379266902</c:v>
                </c:pt>
                <c:pt idx="44">
                  <c:v>53.437755998344194</c:v>
                </c:pt>
                <c:pt idx="45">
                  <c:v>53.439063634477783</c:v>
                </c:pt>
                <c:pt idx="46">
                  <c:v>53.440131249294637</c:v>
                </c:pt>
                <c:pt idx="47">
                  <c:v>53.441002899570954</c:v>
                </c:pt>
                <c:pt idx="48">
                  <c:v>53.441714555303157</c:v>
                </c:pt>
                <c:pt idx="49">
                  <c:v>53.442295584065427</c:v>
                </c:pt>
                <c:pt idx="50">
                  <c:v>53.442769962908045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5-4C6F-A77B-473C8A03FC64}"/>
            </c:ext>
          </c:extLst>
        </c:ser>
        <c:ser>
          <c:idx val="1"/>
          <c:order val="1"/>
          <c:tx>
            <c:strRef>
              <c:f>'Example 1.1'!$A$10</c:f>
              <c:strCache>
                <c:ptCount val="1"/>
                <c:pt idx="0">
                  <c:v>Numerical, delta t=5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'Example 1.1'!$A$13:$A$23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'Example 1.1'!$B$13:$B$23</c:f>
              <c:numCache>
                <c:formatCode>General</c:formatCode>
                <c:ptCount val="11"/>
                <c:pt idx="0">
                  <c:v>0</c:v>
                </c:pt>
                <c:pt idx="1">
                  <c:v>49.050000000000004</c:v>
                </c:pt>
                <c:pt idx="2">
                  <c:v>53.083480176211452</c:v>
                </c:pt>
                <c:pt idx="3">
                  <c:v>53.415161365444696</c:v>
                </c:pt>
                <c:pt idx="4">
                  <c:v>53.442436176894134</c:v>
                </c:pt>
                <c:pt idx="5">
                  <c:v>53.444679039509651</c:v>
                </c:pt>
                <c:pt idx="6">
                  <c:v>53.4448634746146</c:v>
                </c:pt>
                <c:pt idx="7">
                  <c:v>53.444878641084316</c:v>
                </c:pt>
                <c:pt idx="8">
                  <c:v>53.444879888253624</c:v>
                </c:pt>
                <c:pt idx="9">
                  <c:v>53.444879990810868</c:v>
                </c:pt>
                <c:pt idx="10">
                  <c:v>53.444879999244364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15-4C6F-A77B-473C8A03FC64}"/>
            </c:ext>
          </c:extLst>
        </c:ser>
        <c:ser>
          <c:idx val="2"/>
          <c:order val="2"/>
          <c:tx>
            <c:strRef>
              <c:f>'Example 1.1'!$J$10</c:f>
              <c:strCache>
                <c:ptCount val="1"/>
                <c:pt idx="0">
                  <c:v>Numerical, delta t=0.1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'Example 1.1'!$J$13:$J$513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5.8999999999999897</c:v>
                </c:pt>
                <c:pt idx="60">
                  <c:v>5.9999999999999902</c:v>
                </c:pt>
                <c:pt idx="61">
                  <c:v>6.0999999999999899</c:v>
                </c:pt>
                <c:pt idx="62">
                  <c:v>6.1999999999999904</c:v>
                </c:pt>
                <c:pt idx="63">
                  <c:v>6.2999999999999901</c:v>
                </c:pt>
                <c:pt idx="64">
                  <c:v>6.3999999999999897</c:v>
                </c:pt>
                <c:pt idx="65">
                  <c:v>6.4999999999999902</c:v>
                </c:pt>
                <c:pt idx="66">
                  <c:v>6.5999999999999899</c:v>
                </c:pt>
                <c:pt idx="67">
                  <c:v>6.6999999999999904</c:v>
                </c:pt>
                <c:pt idx="68">
                  <c:v>6.7999999999999901</c:v>
                </c:pt>
                <c:pt idx="69">
                  <c:v>6.8999999999999897</c:v>
                </c:pt>
                <c:pt idx="70">
                  <c:v>6.9999999999999902</c:v>
                </c:pt>
                <c:pt idx="71">
                  <c:v>7.0999999999999899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7.4999999999999902</c:v>
                </c:pt>
                <c:pt idx="76">
                  <c:v>7.5999999999999899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  <c:pt idx="80">
                  <c:v>7.9999999999999902</c:v>
                </c:pt>
                <c:pt idx="81">
                  <c:v>8.0999999999999908</c:v>
                </c:pt>
                <c:pt idx="82">
                  <c:v>8.1999999999999904</c:v>
                </c:pt>
                <c:pt idx="83">
                  <c:v>8.2999999999999901</c:v>
                </c:pt>
                <c:pt idx="84">
                  <c:v>8.3999999999999897</c:v>
                </c:pt>
                <c:pt idx="85">
                  <c:v>8.4999999999999893</c:v>
                </c:pt>
                <c:pt idx="86">
                  <c:v>8.5999999999999908</c:v>
                </c:pt>
                <c:pt idx="87">
                  <c:v>8.6999999999999797</c:v>
                </c:pt>
                <c:pt idx="88">
                  <c:v>8.7999999999999794</c:v>
                </c:pt>
                <c:pt idx="89">
                  <c:v>8.8999999999999808</c:v>
                </c:pt>
                <c:pt idx="90">
                  <c:v>8.9999999999999805</c:v>
                </c:pt>
                <c:pt idx="91">
                  <c:v>9.0999999999999801</c:v>
                </c:pt>
                <c:pt idx="92">
                  <c:v>9.1999999999999797</c:v>
                </c:pt>
                <c:pt idx="93">
                  <c:v>9.2999999999999794</c:v>
                </c:pt>
                <c:pt idx="94">
                  <c:v>9.3999999999999808</c:v>
                </c:pt>
                <c:pt idx="95">
                  <c:v>9.4999999999999805</c:v>
                </c:pt>
                <c:pt idx="96">
                  <c:v>9.5999999999999801</c:v>
                </c:pt>
                <c:pt idx="97">
                  <c:v>9.6999999999999797</c:v>
                </c:pt>
                <c:pt idx="98">
                  <c:v>9.7999999999999794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18.499999999999901</c:v>
                </c:pt>
                <c:pt idx="186">
                  <c:v>18.599999999999898</c:v>
                </c:pt>
                <c:pt idx="187">
                  <c:v>18.6999999999999</c:v>
                </c:pt>
                <c:pt idx="188">
                  <c:v>18.799999999999901</c:v>
                </c:pt>
                <c:pt idx="189">
                  <c:v>18.899999999999899</c:v>
                </c:pt>
                <c:pt idx="190">
                  <c:v>18.999999999999901</c:v>
                </c:pt>
                <c:pt idx="191">
                  <c:v>19.099999999999898</c:v>
                </c:pt>
                <c:pt idx="192">
                  <c:v>19.1999999999999</c:v>
                </c:pt>
                <c:pt idx="193">
                  <c:v>19.299999999999901</c:v>
                </c:pt>
                <c:pt idx="194">
                  <c:v>19.399999999999899</c:v>
                </c:pt>
                <c:pt idx="195">
                  <c:v>19.499999999999901</c:v>
                </c:pt>
                <c:pt idx="196">
                  <c:v>19.599999999999898</c:v>
                </c:pt>
                <c:pt idx="197">
                  <c:v>19.6999999999999</c:v>
                </c:pt>
                <c:pt idx="198">
                  <c:v>19.799999999999901</c:v>
                </c:pt>
                <c:pt idx="199">
                  <c:v>19.899999999999899</c:v>
                </c:pt>
                <c:pt idx="200">
                  <c:v>19.999999999999901</c:v>
                </c:pt>
                <c:pt idx="201">
                  <c:v>20.099999999999898</c:v>
                </c:pt>
                <c:pt idx="202">
                  <c:v>20.1999999999999</c:v>
                </c:pt>
                <c:pt idx="203">
                  <c:v>20.299999999999901</c:v>
                </c:pt>
                <c:pt idx="204">
                  <c:v>20.399999999999899</c:v>
                </c:pt>
                <c:pt idx="205">
                  <c:v>20.499999999999901</c:v>
                </c:pt>
                <c:pt idx="206">
                  <c:v>20.599999999999898</c:v>
                </c:pt>
                <c:pt idx="207">
                  <c:v>20.6999999999999</c:v>
                </c:pt>
                <c:pt idx="208">
                  <c:v>20.799999999999901</c:v>
                </c:pt>
                <c:pt idx="209">
                  <c:v>20.899999999999899</c:v>
                </c:pt>
                <c:pt idx="210">
                  <c:v>20.999999999999901</c:v>
                </c:pt>
                <c:pt idx="211">
                  <c:v>21.099999999999898</c:v>
                </c:pt>
                <c:pt idx="212">
                  <c:v>21.1999999999999</c:v>
                </c:pt>
                <c:pt idx="213">
                  <c:v>21.299999999999901</c:v>
                </c:pt>
                <c:pt idx="214">
                  <c:v>21.399999999999899</c:v>
                </c:pt>
                <c:pt idx="215">
                  <c:v>21.499999999999901</c:v>
                </c:pt>
                <c:pt idx="216">
                  <c:v>21.599999999999898</c:v>
                </c:pt>
                <c:pt idx="217">
                  <c:v>21.6999999999999</c:v>
                </c:pt>
                <c:pt idx="218">
                  <c:v>21.799999999999901</c:v>
                </c:pt>
                <c:pt idx="219">
                  <c:v>21.899999999999899</c:v>
                </c:pt>
                <c:pt idx="220">
                  <c:v>21.999999999999901</c:v>
                </c:pt>
                <c:pt idx="221">
                  <c:v>22.099999999999898</c:v>
                </c:pt>
                <c:pt idx="222">
                  <c:v>22.1999999999999</c:v>
                </c:pt>
                <c:pt idx="223">
                  <c:v>22.299999999999901</c:v>
                </c:pt>
                <c:pt idx="224">
                  <c:v>22.399999999999899</c:v>
                </c:pt>
                <c:pt idx="225">
                  <c:v>22.499999999999901</c:v>
                </c:pt>
                <c:pt idx="226">
                  <c:v>22.599999999999898</c:v>
                </c:pt>
                <c:pt idx="227">
                  <c:v>22.6999999999999</c:v>
                </c:pt>
                <c:pt idx="228">
                  <c:v>22.799999999999901</c:v>
                </c:pt>
                <c:pt idx="229">
                  <c:v>22.899999999999899</c:v>
                </c:pt>
                <c:pt idx="230">
                  <c:v>22.999999999999901</c:v>
                </c:pt>
                <c:pt idx="231">
                  <c:v>23.099999999999898</c:v>
                </c:pt>
                <c:pt idx="232">
                  <c:v>23.1999999999999</c:v>
                </c:pt>
                <c:pt idx="233">
                  <c:v>23.299999999999901</c:v>
                </c:pt>
                <c:pt idx="234">
                  <c:v>23.399999999999899</c:v>
                </c:pt>
                <c:pt idx="235">
                  <c:v>23.499999999999901</c:v>
                </c:pt>
                <c:pt idx="236">
                  <c:v>23.599999999999898</c:v>
                </c:pt>
                <c:pt idx="237">
                  <c:v>23.6999999999999</c:v>
                </c:pt>
                <c:pt idx="238">
                  <c:v>23.799999999999901</c:v>
                </c:pt>
                <c:pt idx="239">
                  <c:v>23.899999999999899</c:v>
                </c:pt>
                <c:pt idx="240">
                  <c:v>23.999999999999901</c:v>
                </c:pt>
                <c:pt idx="241">
                  <c:v>24.099999999999898</c:v>
                </c:pt>
                <c:pt idx="242">
                  <c:v>24.1999999999999</c:v>
                </c:pt>
                <c:pt idx="243">
                  <c:v>24.299999999999901</c:v>
                </c:pt>
                <c:pt idx="244">
                  <c:v>24.399999999999899</c:v>
                </c:pt>
                <c:pt idx="245">
                  <c:v>24.499999999999901</c:v>
                </c:pt>
                <c:pt idx="246">
                  <c:v>24.599999999999898</c:v>
                </c:pt>
                <c:pt idx="247">
                  <c:v>24.6999999999999</c:v>
                </c:pt>
                <c:pt idx="248">
                  <c:v>24.799999999999901</c:v>
                </c:pt>
                <c:pt idx="249">
                  <c:v>24.899999999999899</c:v>
                </c:pt>
                <c:pt idx="250">
                  <c:v>24.999999999999901</c:v>
                </c:pt>
                <c:pt idx="251">
                  <c:v>25.099999999999898</c:v>
                </c:pt>
                <c:pt idx="252">
                  <c:v>25.1999999999999</c:v>
                </c:pt>
                <c:pt idx="253">
                  <c:v>25.299999999999901</c:v>
                </c:pt>
                <c:pt idx="254">
                  <c:v>25.399999999999899</c:v>
                </c:pt>
                <c:pt idx="255">
                  <c:v>25.499999999999901</c:v>
                </c:pt>
                <c:pt idx="256">
                  <c:v>25.599999999999898</c:v>
                </c:pt>
                <c:pt idx="257">
                  <c:v>25.6999999999999</c:v>
                </c:pt>
                <c:pt idx="258">
                  <c:v>25.799999999999901</c:v>
                </c:pt>
                <c:pt idx="259">
                  <c:v>25.899999999999899</c:v>
                </c:pt>
                <c:pt idx="260">
                  <c:v>25.999999999999901</c:v>
                </c:pt>
                <c:pt idx="261">
                  <c:v>26.099999999999898</c:v>
                </c:pt>
                <c:pt idx="262">
                  <c:v>26.1999999999999</c:v>
                </c:pt>
                <c:pt idx="263">
                  <c:v>26.299999999999901</c:v>
                </c:pt>
                <c:pt idx="264">
                  <c:v>26.399999999999899</c:v>
                </c:pt>
                <c:pt idx="265">
                  <c:v>26.499999999999901</c:v>
                </c:pt>
                <c:pt idx="266">
                  <c:v>26.599999999999898</c:v>
                </c:pt>
                <c:pt idx="267">
                  <c:v>26.6999999999999</c:v>
                </c:pt>
                <c:pt idx="268">
                  <c:v>26.799999999999901</c:v>
                </c:pt>
                <c:pt idx="269">
                  <c:v>26.899999999999899</c:v>
                </c:pt>
                <c:pt idx="270">
                  <c:v>26.999999999999901</c:v>
                </c:pt>
                <c:pt idx="271">
                  <c:v>27.099999999999898</c:v>
                </c:pt>
                <c:pt idx="272">
                  <c:v>27.1999999999999</c:v>
                </c:pt>
                <c:pt idx="273">
                  <c:v>27.299999999999901</c:v>
                </c:pt>
                <c:pt idx="274">
                  <c:v>27.399999999999899</c:v>
                </c:pt>
                <c:pt idx="275">
                  <c:v>27.499999999999901</c:v>
                </c:pt>
                <c:pt idx="276">
                  <c:v>27.599999999999898</c:v>
                </c:pt>
                <c:pt idx="277">
                  <c:v>27.6999999999999</c:v>
                </c:pt>
                <c:pt idx="278">
                  <c:v>27.799999999999901</c:v>
                </c:pt>
                <c:pt idx="279">
                  <c:v>27.899999999999899</c:v>
                </c:pt>
                <c:pt idx="280">
                  <c:v>27.999999999999901</c:v>
                </c:pt>
                <c:pt idx="281">
                  <c:v>28.099999999999898</c:v>
                </c:pt>
                <c:pt idx="282">
                  <c:v>28.1999999999999</c:v>
                </c:pt>
                <c:pt idx="283">
                  <c:v>28.299999999999901</c:v>
                </c:pt>
                <c:pt idx="284">
                  <c:v>28.399999999999899</c:v>
                </c:pt>
                <c:pt idx="285">
                  <c:v>28.499999999999901</c:v>
                </c:pt>
                <c:pt idx="286">
                  <c:v>28.599999999999898</c:v>
                </c:pt>
                <c:pt idx="287">
                  <c:v>28.6999999999999</c:v>
                </c:pt>
                <c:pt idx="288">
                  <c:v>28.799999999999901</c:v>
                </c:pt>
                <c:pt idx="289">
                  <c:v>28.899999999999899</c:v>
                </c:pt>
                <c:pt idx="290">
                  <c:v>28.999999999999901</c:v>
                </c:pt>
                <c:pt idx="291">
                  <c:v>29.099999999999898</c:v>
                </c:pt>
                <c:pt idx="292">
                  <c:v>29.1999999999999</c:v>
                </c:pt>
                <c:pt idx="293">
                  <c:v>29.299999999999901</c:v>
                </c:pt>
                <c:pt idx="294">
                  <c:v>29.399999999999899</c:v>
                </c:pt>
                <c:pt idx="295">
                  <c:v>29.499999999999901</c:v>
                </c:pt>
                <c:pt idx="296">
                  <c:v>29.599999999999898</c:v>
                </c:pt>
                <c:pt idx="297">
                  <c:v>29.6999999999999</c:v>
                </c:pt>
                <c:pt idx="298">
                  <c:v>29.799999999999901</c:v>
                </c:pt>
                <c:pt idx="299">
                  <c:v>29.899999999999899</c:v>
                </c:pt>
                <c:pt idx="300">
                  <c:v>29.999999999999901</c:v>
                </c:pt>
                <c:pt idx="301">
                  <c:v>30.099999999999898</c:v>
                </c:pt>
                <c:pt idx="302">
                  <c:v>30.1999999999999</c:v>
                </c:pt>
                <c:pt idx="303">
                  <c:v>30.299999999999901</c:v>
                </c:pt>
                <c:pt idx="304">
                  <c:v>30.399999999999899</c:v>
                </c:pt>
                <c:pt idx="305">
                  <c:v>30.499999999999901</c:v>
                </c:pt>
                <c:pt idx="306">
                  <c:v>30.599999999999898</c:v>
                </c:pt>
                <c:pt idx="307">
                  <c:v>30.6999999999999</c:v>
                </c:pt>
                <c:pt idx="308">
                  <c:v>30.799999999999901</c:v>
                </c:pt>
                <c:pt idx="309">
                  <c:v>30.899999999999899</c:v>
                </c:pt>
                <c:pt idx="310">
                  <c:v>30.999999999999901</c:v>
                </c:pt>
                <c:pt idx="311">
                  <c:v>31.099999999999898</c:v>
                </c:pt>
                <c:pt idx="312">
                  <c:v>31.1999999999999</c:v>
                </c:pt>
                <c:pt idx="313">
                  <c:v>31.299999999999901</c:v>
                </c:pt>
                <c:pt idx="314">
                  <c:v>31.399999999999899</c:v>
                </c:pt>
                <c:pt idx="315">
                  <c:v>31.499999999999901</c:v>
                </c:pt>
                <c:pt idx="316">
                  <c:v>31.599999999999898</c:v>
                </c:pt>
                <c:pt idx="317">
                  <c:v>31.6999999999999</c:v>
                </c:pt>
                <c:pt idx="318">
                  <c:v>31.799999999999901</c:v>
                </c:pt>
                <c:pt idx="319">
                  <c:v>31.899999999999899</c:v>
                </c:pt>
                <c:pt idx="320">
                  <c:v>31.999999999999901</c:v>
                </c:pt>
                <c:pt idx="321">
                  <c:v>32.099999999999902</c:v>
                </c:pt>
                <c:pt idx="322">
                  <c:v>32.199999999999903</c:v>
                </c:pt>
                <c:pt idx="323">
                  <c:v>32.299999999999898</c:v>
                </c:pt>
                <c:pt idx="324">
                  <c:v>32.399999999999899</c:v>
                </c:pt>
                <c:pt idx="325">
                  <c:v>32.499999999999901</c:v>
                </c:pt>
                <c:pt idx="326">
                  <c:v>32.599999999999902</c:v>
                </c:pt>
                <c:pt idx="327">
                  <c:v>32.699999999999903</c:v>
                </c:pt>
                <c:pt idx="328">
                  <c:v>32.799999999999898</c:v>
                </c:pt>
                <c:pt idx="329">
                  <c:v>32.899999999999899</c:v>
                </c:pt>
                <c:pt idx="330">
                  <c:v>32.999999999999901</c:v>
                </c:pt>
                <c:pt idx="331">
                  <c:v>33.099999999999902</c:v>
                </c:pt>
                <c:pt idx="332">
                  <c:v>33.199999999999903</c:v>
                </c:pt>
                <c:pt idx="333">
                  <c:v>33.299999999999898</c:v>
                </c:pt>
                <c:pt idx="334">
                  <c:v>33.399999999999899</c:v>
                </c:pt>
                <c:pt idx="335">
                  <c:v>33.499999999999901</c:v>
                </c:pt>
                <c:pt idx="336">
                  <c:v>33.599999999999902</c:v>
                </c:pt>
                <c:pt idx="337">
                  <c:v>33.699999999999903</c:v>
                </c:pt>
                <c:pt idx="338">
                  <c:v>33.799999999999898</c:v>
                </c:pt>
                <c:pt idx="339">
                  <c:v>33.899999999999899</c:v>
                </c:pt>
                <c:pt idx="340">
                  <c:v>33.999999999999901</c:v>
                </c:pt>
                <c:pt idx="341">
                  <c:v>34.099999999999902</c:v>
                </c:pt>
                <c:pt idx="342">
                  <c:v>34.199999999999903</c:v>
                </c:pt>
                <c:pt idx="343">
                  <c:v>34.299999999999898</c:v>
                </c:pt>
                <c:pt idx="344">
                  <c:v>34.399999999999899</c:v>
                </c:pt>
                <c:pt idx="345">
                  <c:v>34.499999999999901</c:v>
                </c:pt>
                <c:pt idx="346">
                  <c:v>34.599999999999902</c:v>
                </c:pt>
                <c:pt idx="347">
                  <c:v>34.699999999999903</c:v>
                </c:pt>
                <c:pt idx="348">
                  <c:v>34.799999999999898</c:v>
                </c:pt>
                <c:pt idx="349">
                  <c:v>34.899999999999899</c:v>
                </c:pt>
                <c:pt idx="350">
                  <c:v>34.999999999999901</c:v>
                </c:pt>
                <c:pt idx="351">
                  <c:v>35.099999999999902</c:v>
                </c:pt>
                <c:pt idx="352">
                  <c:v>35.199999999999903</c:v>
                </c:pt>
                <c:pt idx="353">
                  <c:v>35.299999999999898</c:v>
                </c:pt>
                <c:pt idx="354">
                  <c:v>35.399999999999899</c:v>
                </c:pt>
                <c:pt idx="355">
                  <c:v>35.499999999999901</c:v>
                </c:pt>
                <c:pt idx="356">
                  <c:v>35.599999999999902</c:v>
                </c:pt>
                <c:pt idx="357">
                  <c:v>35.699999999999903</c:v>
                </c:pt>
                <c:pt idx="358">
                  <c:v>35.799999999999898</c:v>
                </c:pt>
                <c:pt idx="359">
                  <c:v>35.899999999999899</c:v>
                </c:pt>
                <c:pt idx="360">
                  <c:v>35.999999999999901</c:v>
                </c:pt>
                <c:pt idx="361">
                  <c:v>36.099999999999902</c:v>
                </c:pt>
                <c:pt idx="362">
                  <c:v>36.199999999999903</c:v>
                </c:pt>
                <c:pt idx="363">
                  <c:v>36.299999999999898</c:v>
                </c:pt>
                <c:pt idx="364">
                  <c:v>36.399999999999899</c:v>
                </c:pt>
                <c:pt idx="365">
                  <c:v>36.499999999999901</c:v>
                </c:pt>
                <c:pt idx="366">
                  <c:v>36.599999999999902</c:v>
                </c:pt>
                <c:pt idx="367">
                  <c:v>36.699999999999903</c:v>
                </c:pt>
                <c:pt idx="368">
                  <c:v>36.799999999999898</c:v>
                </c:pt>
                <c:pt idx="369">
                  <c:v>36.899999999999899</c:v>
                </c:pt>
                <c:pt idx="370">
                  <c:v>36.999999999999901</c:v>
                </c:pt>
                <c:pt idx="371">
                  <c:v>37.099999999999902</c:v>
                </c:pt>
                <c:pt idx="372">
                  <c:v>37.199999999999903</c:v>
                </c:pt>
                <c:pt idx="373">
                  <c:v>37.299999999999898</c:v>
                </c:pt>
                <c:pt idx="374">
                  <c:v>37.399999999999899</c:v>
                </c:pt>
                <c:pt idx="375">
                  <c:v>37.499999999999901</c:v>
                </c:pt>
                <c:pt idx="376">
                  <c:v>37.599999999999902</c:v>
                </c:pt>
                <c:pt idx="377">
                  <c:v>37.699999999999903</c:v>
                </c:pt>
                <c:pt idx="378">
                  <c:v>37.799999999999898</c:v>
                </c:pt>
                <c:pt idx="379">
                  <c:v>37.899999999999899</c:v>
                </c:pt>
                <c:pt idx="380">
                  <c:v>37.999999999999901</c:v>
                </c:pt>
                <c:pt idx="381">
                  <c:v>38.099999999999902</c:v>
                </c:pt>
                <c:pt idx="382">
                  <c:v>38.199999999999903</c:v>
                </c:pt>
                <c:pt idx="383">
                  <c:v>38.299999999999898</c:v>
                </c:pt>
                <c:pt idx="384">
                  <c:v>38.399999999999899</c:v>
                </c:pt>
                <c:pt idx="385">
                  <c:v>38.499999999999901</c:v>
                </c:pt>
                <c:pt idx="386">
                  <c:v>38.599999999999902</c:v>
                </c:pt>
                <c:pt idx="387">
                  <c:v>38.699999999999903</c:v>
                </c:pt>
                <c:pt idx="388">
                  <c:v>38.799999999999898</c:v>
                </c:pt>
                <c:pt idx="389">
                  <c:v>38.899999999999899</c:v>
                </c:pt>
                <c:pt idx="390">
                  <c:v>38.999999999999901</c:v>
                </c:pt>
                <c:pt idx="391">
                  <c:v>39.099999999999902</c:v>
                </c:pt>
                <c:pt idx="392">
                  <c:v>39.199999999999903</c:v>
                </c:pt>
                <c:pt idx="393">
                  <c:v>39.299999999999898</c:v>
                </c:pt>
                <c:pt idx="394">
                  <c:v>39.399999999999899</c:v>
                </c:pt>
                <c:pt idx="395">
                  <c:v>39.499999999999901</c:v>
                </c:pt>
                <c:pt idx="396">
                  <c:v>39.599999999999902</c:v>
                </c:pt>
                <c:pt idx="397">
                  <c:v>39.699999999999903</c:v>
                </c:pt>
                <c:pt idx="398">
                  <c:v>39.799999999999898</c:v>
                </c:pt>
                <c:pt idx="399">
                  <c:v>39.899999999999899</c:v>
                </c:pt>
                <c:pt idx="400">
                  <c:v>39.999999999999901</c:v>
                </c:pt>
                <c:pt idx="401">
                  <c:v>40.099999999999902</c:v>
                </c:pt>
                <c:pt idx="402">
                  <c:v>40.199999999999903</c:v>
                </c:pt>
                <c:pt idx="403">
                  <c:v>40.299999999999898</c:v>
                </c:pt>
                <c:pt idx="404">
                  <c:v>40.399999999999899</c:v>
                </c:pt>
                <c:pt idx="405">
                  <c:v>40.499999999999901</c:v>
                </c:pt>
                <c:pt idx="406">
                  <c:v>40.599999999999902</c:v>
                </c:pt>
                <c:pt idx="407">
                  <c:v>40.699999999999903</c:v>
                </c:pt>
                <c:pt idx="408">
                  <c:v>40.799999999999898</c:v>
                </c:pt>
                <c:pt idx="409">
                  <c:v>40.899999999999899</c:v>
                </c:pt>
                <c:pt idx="410">
                  <c:v>40.999999999999901</c:v>
                </c:pt>
                <c:pt idx="411">
                  <c:v>41.099999999999902</c:v>
                </c:pt>
                <c:pt idx="412">
                  <c:v>41.199999999999903</c:v>
                </c:pt>
                <c:pt idx="413">
                  <c:v>41.299999999999898</c:v>
                </c:pt>
                <c:pt idx="414">
                  <c:v>41.399999999999899</c:v>
                </c:pt>
                <c:pt idx="415">
                  <c:v>41.499999999999901</c:v>
                </c:pt>
                <c:pt idx="416">
                  <c:v>41.599999999999902</c:v>
                </c:pt>
                <c:pt idx="417">
                  <c:v>41.699999999999903</c:v>
                </c:pt>
                <c:pt idx="418">
                  <c:v>41.799999999999898</c:v>
                </c:pt>
                <c:pt idx="419">
                  <c:v>41.899999999999899</c:v>
                </c:pt>
                <c:pt idx="420">
                  <c:v>41.999999999999901</c:v>
                </c:pt>
                <c:pt idx="421">
                  <c:v>42.099999999999902</c:v>
                </c:pt>
                <c:pt idx="422">
                  <c:v>42.199999999999903</c:v>
                </c:pt>
                <c:pt idx="423">
                  <c:v>42.299999999999898</c:v>
                </c:pt>
                <c:pt idx="424">
                  <c:v>42.399999999999899</c:v>
                </c:pt>
                <c:pt idx="425">
                  <c:v>42.499999999999901</c:v>
                </c:pt>
                <c:pt idx="426">
                  <c:v>42.599999999999902</c:v>
                </c:pt>
                <c:pt idx="427">
                  <c:v>42.699999999999903</c:v>
                </c:pt>
                <c:pt idx="428">
                  <c:v>42.799999999999898</c:v>
                </c:pt>
                <c:pt idx="429">
                  <c:v>42.899999999999899</c:v>
                </c:pt>
                <c:pt idx="430">
                  <c:v>42.999999999999901</c:v>
                </c:pt>
                <c:pt idx="431">
                  <c:v>43.099999999999902</c:v>
                </c:pt>
                <c:pt idx="432">
                  <c:v>43.199999999999903</c:v>
                </c:pt>
                <c:pt idx="433">
                  <c:v>43.299999999999898</c:v>
                </c:pt>
                <c:pt idx="434">
                  <c:v>43.399999999999899</c:v>
                </c:pt>
                <c:pt idx="435">
                  <c:v>43.499999999999901</c:v>
                </c:pt>
                <c:pt idx="436">
                  <c:v>43.599999999999902</c:v>
                </c:pt>
                <c:pt idx="437">
                  <c:v>43.699999999999903</c:v>
                </c:pt>
                <c:pt idx="438">
                  <c:v>43.799999999999898</c:v>
                </c:pt>
                <c:pt idx="439">
                  <c:v>43.899999999999899</c:v>
                </c:pt>
                <c:pt idx="440">
                  <c:v>43.999999999999901</c:v>
                </c:pt>
                <c:pt idx="441">
                  <c:v>44.099999999999902</c:v>
                </c:pt>
                <c:pt idx="442">
                  <c:v>44.199999999999903</c:v>
                </c:pt>
                <c:pt idx="443">
                  <c:v>44.299999999999898</c:v>
                </c:pt>
                <c:pt idx="444">
                  <c:v>44.399999999999899</c:v>
                </c:pt>
                <c:pt idx="445">
                  <c:v>44.499999999999901</c:v>
                </c:pt>
                <c:pt idx="446">
                  <c:v>44.599999999999902</c:v>
                </c:pt>
                <c:pt idx="447">
                  <c:v>44.699999999999903</c:v>
                </c:pt>
                <c:pt idx="448">
                  <c:v>44.799999999999898</c:v>
                </c:pt>
                <c:pt idx="449">
                  <c:v>44.899999999999899</c:v>
                </c:pt>
                <c:pt idx="450">
                  <c:v>44.999999999999901</c:v>
                </c:pt>
                <c:pt idx="451">
                  <c:v>45.099999999999902</c:v>
                </c:pt>
                <c:pt idx="452">
                  <c:v>45.199999999999903</c:v>
                </c:pt>
                <c:pt idx="453">
                  <c:v>45.299999999999898</c:v>
                </c:pt>
                <c:pt idx="454">
                  <c:v>45.399999999999899</c:v>
                </c:pt>
                <c:pt idx="455">
                  <c:v>45.499999999999901</c:v>
                </c:pt>
                <c:pt idx="456">
                  <c:v>45.599999999999902</c:v>
                </c:pt>
                <c:pt idx="457">
                  <c:v>45.699999999999903</c:v>
                </c:pt>
                <c:pt idx="458">
                  <c:v>45.799999999999798</c:v>
                </c:pt>
                <c:pt idx="459">
                  <c:v>45.899999999999899</c:v>
                </c:pt>
                <c:pt idx="460">
                  <c:v>45.999999999999901</c:v>
                </c:pt>
                <c:pt idx="461">
                  <c:v>46.099999999999902</c:v>
                </c:pt>
                <c:pt idx="462">
                  <c:v>46.199999999999903</c:v>
                </c:pt>
                <c:pt idx="463">
                  <c:v>46.299999999999798</c:v>
                </c:pt>
                <c:pt idx="464">
                  <c:v>46.399999999999899</c:v>
                </c:pt>
                <c:pt idx="465">
                  <c:v>46.499999999999901</c:v>
                </c:pt>
                <c:pt idx="466">
                  <c:v>46.599999999999802</c:v>
                </c:pt>
                <c:pt idx="467">
                  <c:v>46.699999999999797</c:v>
                </c:pt>
                <c:pt idx="468">
                  <c:v>46.799999999999798</c:v>
                </c:pt>
                <c:pt idx="469">
                  <c:v>46.899999999999899</c:v>
                </c:pt>
                <c:pt idx="470">
                  <c:v>46.999999999999901</c:v>
                </c:pt>
                <c:pt idx="471">
                  <c:v>47.099999999999802</c:v>
                </c:pt>
                <c:pt idx="472">
                  <c:v>47.199999999999797</c:v>
                </c:pt>
                <c:pt idx="473">
                  <c:v>47.299999999999798</c:v>
                </c:pt>
                <c:pt idx="474">
                  <c:v>47.3999999999998</c:v>
                </c:pt>
                <c:pt idx="475">
                  <c:v>47.499999999999801</c:v>
                </c:pt>
                <c:pt idx="476">
                  <c:v>47.599999999999802</c:v>
                </c:pt>
                <c:pt idx="477">
                  <c:v>47.699999999999797</c:v>
                </c:pt>
                <c:pt idx="478">
                  <c:v>47.799999999999798</c:v>
                </c:pt>
                <c:pt idx="479">
                  <c:v>47.8999999999998</c:v>
                </c:pt>
                <c:pt idx="480">
                  <c:v>47.999999999999801</c:v>
                </c:pt>
                <c:pt idx="481">
                  <c:v>48.099999999999802</c:v>
                </c:pt>
                <c:pt idx="482">
                  <c:v>48.199999999999797</c:v>
                </c:pt>
                <c:pt idx="483">
                  <c:v>48.299999999999798</c:v>
                </c:pt>
                <c:pt idx="484">
                  <c:v>48.3999999999998</c:v>
                </c:pt>
                <c:pt idx="485">
                  <c:v>48.499999999999801</c:v>
                </c:pt>
                <c:pt idx="486">
                  <c:v>48.599999999999802</c:v>
                </c:pt>
                <c:pt idx="487">
                  <c:v>48.699999999999797</c:v>
                </c:pt>
                <c:pt idx="488">
                  <c:v>48.799999999999798</c:v>
                </c:pt>
                <c:pt idx="489">
                  <c:v>48.8999999999998</c:v>
                </c:pt>
                <c:pt idx="490">
                  <c:v>48.999999999999801</c:v>
                </c:pt>
                <c:pt idx="491">
                  <c:v>49.099999999999802</c:v>
                </c:pt>
                <c:pt idx="492">
                  <c:v>49.199999999999797</c:v>
                </c:pt>
                <c:pt idx="493">
                  <c:v>49.299999999999798</c:v>
                </c:pt>
                <c:pt idx="494">
                  <c:v>49.3999999999998</c:v>
                </c:pt>
                <c:pt idx="495">
                  <c:v>49.499999999999801</c:v>
                </c:pt>
                <c:pt idx="496">
                  <c:v>49.599999999999802</c:v>
                </c:pt>
                <c:pt idx="497">
                  <c:v>49.699999999999797</c:v>
                </c:pt>
                <c:pt idx="498">
                  <c:v>49.799999999999798</c:v>
                </c:pt>
                <c:pt idx="499">
                  <c:v>49.8999999999998</c:v>
                </c:pt>
                <c:pt idx="500">
                  <c:v>49.999999999999801</c:v>
                </c:pt>
              </c:numCache>
            </c:numRef>
          </c:xVal>
          <c:yVal>
            <c:numRef>
              <c:f>'Example 1.1'!$K$13:$K$513</c:f>
              <c:numCache>
                <c:formatCode>General</c:formatCode>
                <c:ptCount val="501"/>
                <c:pt idx="0">
                  <c:v>0</c:v>
                </c:pt>
                <c:pt idx="1">
                  <c:v>0.98100000000000009</c:v>
                </c:pt>
                <c:pt idx="2">
                  <c:v>1.9439933920704848</c:v>
                </c:pt>
                <c:pt idx="3">
                  <c:v>2.8893106939781483</c:v>
                </c:pt>
                <c:pt idx="4">
                  <c:v>3.8172763567171693</c:v>
                </c:pt>
                <c:pt idx="5">
                  <c:v>4.7282088758670007</c:v>
                </c:pt>
                <c:pt idx="6">
                  <c:v>5.6224209009061523</c:v>
                </c:pt>
                <c:pt idx="7">
                  <c:v>6.5002193425194754</c:v>
                </c:pt>
                <c:pt idx="8">
                  <c:v>7.3619054779357853</c:v>
                </c:pt>
                <c:pt idx="9">
                  <c:v>8.2077750543319716</c:v>
                </c:pt>
                <c:pt idx="10">
                  <c:v>9.0381183903390934</c:v>
                </c:pt>
                <c:pt idx="11">
                  <c:v>9.8532204756852924</c:v>
                </c:pt>
                <c:pt idx="12">
                  <c:v>10.653361069009717</c:v>
                </c:pt>
                <c:pt idx="13">
                  <c:v>11.438814793881052</c:v>
                </c:pt>
                <c:pt idx="14">
                  <c:v>12.209851233053572</c:v>
                </c:pt>
                <c:pt idx="15">
                  <c:v>12.966735020993118</c:v>
                </c:pt>
                <c:pt idx="16">
                  <c:v>13.709725934704698</c:v>
                </c:pt>
                <c:pt idx="17">
                  <c:v>14.439078982892937</c:v>
                </c:pt>
                <c:pt idx="18">
                  <c:v>15.155044493485946</c:v>
                </c:pt>
                <c:pt idx="19">
                  <c:v>15.85786819955265</c:v>
                </c:pt>
                <c:pt idx="20">
                  <c:v>16.547791323643093</c:v>
                </c:pt>
                <c:pt idx="21">
                  <c:v>17.225050660580628</c:v>
                </c:pt>
                <c:pt idx="22">
                  <c:v>17.889878658734435</c:v>
                </c:pt>
                <c:pt idx="23">
                  <c:v>18.542503499800247</c:v>
                </c:pt>
                <c:pt idx="24">
                  <c:v>19.18314917711669</c:v>
                </c:pt>
                <c:pt idx="25">
                  <c:v>19.812035572544065</c:v>
                </c:pt>
                <c:pt idx="26">
                  <c:v>20.429378531932024</c:v>
                </c:pt>
                <c:pt idx="27">
                  <c:v>21.035389939201995</c:v>
                </c:pt>
                <c:pt idx="28">
                  <c:v>21.630277789069797</c:v>
                </c:pt>
                <c:pt idx="29">
                  <c:v>22.21424625843342</c:v>
                </c:pt>
                <c:pt idx="30">
                  <c:v>22.787495776450427</c:v>
                </c:pt>
                <c:pt idx="31">
                  <c:v>23.350223093329092</c:v>
                </c:pt>
                <c:pt idx="32">
                  <c:v>23.902621347856826</c:v>
                </c:pt>
                <c:pt idx="33">
                  <c:v>24.444880133689114</c:v>
                </c:pt>
                <c:pt idx="34">
                  <c:v>24.977185564421692</c:v>
                </c:pt>
                <c:pt idx="35">
                  <c:v>25.499720337468283</c:v>
                </c:pt>
                <c:pt idx="36">
                  <c:v>26.012663796765857</c:v>
                </c:pt>
                <c:pt idx="37">
                  <c:v>26.516191994328892</c:v>
                </c:pt>
                <c:pt idx="38">
                  <c:v>27.010477750673807</c:v>
                </c:pt>
                <c:pt idx="39">
                  <c:v>27.495690714134273</c:v>
                </c:pt>
                <c:pt idx="40">
                  <c:v>27.971997419087756</c:v>
                </c:pt>
                <c:pt idx="41">
                  <c:v>28.439561343113311</c:v>
                </c:pt>
                <c:pt idx="42">
                  <c:v>28.898542963100219</c:v>
                </c:pt>
                <c:pt idx="43">
                  <c:v>29.34909981032672</c:v>
                </c:pt>
                <c:pt idx="44">
                  <c:v>29.791386524527773</c:v>
                </c:pt>
                <c:pt idx="45">
                  <c:v>30.225554906970359</c:v>
                </c:pt>
                <c:pt idx="46">
                  <c:v>30.651753972554602</c:v>
                </c:pt>
                <c:pt idx="47">
                  <c:v>31.070130000958521</c:v>
                </c:pt>
                <c:pt idx="48">
                  <c:v>31.48082658684401</c:v>
                </c:pt>
                <c:pt idx="49">
                  <c:v>31.883984689141297</c:v>
                </c:pt>
                <c:pt idx="50">
                  <c:v>32.279742679428715</c:v>
                </c:pt>
                <c:pt idx="51">
                  <c:v>32.668236389424514</c:v>
                </c:pt>
                <c:pt idx="52">
                  <c:v>33.049599157606885</c:v>
                </c:pt>
                <c:pt idx="53">
                  <c:v>33.423961874978268</c:v>
                </c:pt>
                <c:pt idx="54">
                  <c:v>33.791453029989682</c:v>
                </c:pt>
                <c:pt idx="55">
                  <c:v>34.152198752640388</c:v>
                </c:pt>
                <c:pt idx="56">
                  <c:v>34.506322857768133</c:v>
                </c:pt>
                <c:pt idx="57">
                  <c:v>34.853946887544787</c:v>
                </c:pt>
                <c:pt idx="58">
                  <c:v>35.195190153191909</c:v>
                </c:pt>
                <c:pt idx="59">
                  <c:v>35.530169775930645</c:v>
                </c:pt>
                <c:pt idx="60">
                  <c:v>35.859000727180081</c:v>
                </c:pt>
                <c:pt idx="61">
                  <c:v>36.181795868017453</c:v>
                </c:pt>
                <c:pt idx="62">
                  <c:v>36.498665987914343</c:v>
                </c:pt>
                <c:pt idx="63">
                  <c:v>36.80971984276173</c:v>
                </c:pt>
                <c:pt idx="64">
                  <c:v>37.115064192197089</c:v>
                </c:pt>
                <c:pt idx="65">
                  <c:v>37.414803836246335</c:v>
                </c:pt>
                <c:pt idx="66">
                  <c:v>37.709041651293205</c:v>
                </c:pt>
                <c:pt idx="67">
                  <c:v>37.99787862538841</c:v>
                </c:pt>
                <c:pt idx="68">
                  <c:v>38.281413892910649</c:v>
                </c:pt>
                <c:pt idx="69">
                  <c:v>38.559744768591436</c:v>
                </c:pt>
                <c:pt idx="70">
                  <c:v>38.832966780915385</c:v>
                </c:pt>
                <c:pt idx="71">
                  <c:v>39.101173704907389</c:v>
                </c:pt>
                <c:pt idx="72">
                  <c:v>39.364457594318047</c:v>
                </c:pt>
                <c:pt idx="73">
                  <c:v>39.622908813218231</c:v>
                </c:pt>
                <c:pt idx="74">
                  <c:v>39.876616067013785</c:v>
                </c:pt>
                <c:pt idx="75">
                  <c:v>40.125666432890917</c:v>
                </c:pt>
                <c:pt idx="76">
                  <c:v>40.370145389702756</c:v>
                </c:pt>
                <c:pt idx="77">
                  <c:v>40.610136847307331</c:v>
                </c:pt>
                <c:pt idx="78">
                  <c:v>40.845723175367034</c:v>
                </c:pt>
                <c:pt idx="79">
                  <c:v>41.076985231619474</c:v>
                </c:pt>
                <c:pt idx="80">
                  <c:v>41.304002389629396</c:v>
                </c:pt>
                <c:pt idx="81">
                  <c:v>41.526852566031209</c:v>
                </c:pt>
                <c:pt idx="82">
                  <c:v>41.74561224727146</c:v>
                </c:pt>
                <c:pt idx="83">
                  <c:v>41.960356515860454</c:v>
                </c:pt>
                <c:pt idx="84">
                  <c:v>42.171159076142018</c:v>
                </c:pt>
                <c:pt idx="85">
                  <c:v>42.37809227959022</c:v>
                </c:pt>
                <c:pt idx="86">
                  <c:v>42.581227149641798</c:v>
                </c:pt>
                <c:pt idx="87">
                  <c:v>42.780633406072724</c:v>
                </c:pt>
                <c:pt idx="88">
                  <c:v>42.976379488927485</c:v>
                </c:pt>
                <c:pt idx="89">
                  <c:v>43.168532582008851</c:v>
                </c:pt>
                <c:pt idx="90">
                  <c:v>43.357158635936734</c:v>
                </c:pt>
                <c:pt idx="91">
                  <c:v>43.54232239078371</c:v>
                </c:pt>
                <c:pt idx="92">
                  <c:v>43.724087398295019</c:v>
                </c:pt>
                <c:pt idx="93">
                  <c:v>43.902516043700764</c:v>
                </c:pt>
                <c:pt idx="94">
                  <c:v>44.0776695671277</c:v>
                </c:pt>
                <c:pt idx="95">
                  <c:v>44.249608084618011</c:v>
                </c:pt>
                <c:pt idx="96">
                  <c:v>44.418390608762323</c:v>
                </c:pt>
                <c:pt idx="97">
                  <c:v>44.584075068953908</c:v>
                </c:pt>
                <c:pt idx="98">
                  <c:v>44.746718331271197</c:v>
                </c:pt>
                <c:pt idx="99">
                  <c:v>44.906376217995295</c:v>
                </c:pt>
                <c:pt idx="100">
                  <c:v>45.06310352676924</c:v>
                </c:pt>
                <c:pt idx="101">
                  <c:v>45.216954049405665</c:v>
                </c:pt>
                <c:pt idx="102">
                  <c:v>45.367980590349028</c:v>
                </c:pt>
                <c:pt idx="103">
                  <c:v>45.516234984799304</c:v>
                </c:pt>
                <c:pt idx="104">
                  <c:v>45.661768116502692</c:v>
                </c:pt>
                <c:pt idx="105">
                  <c:v>45.804629935215935</c:v>
                </c:pt>
                <c:pt idx="106">
                  <c:v>45.944869473850005</c:v>
                </c:pt>
                <c:pt idx="107">
                  <c:v>46.082534865299159</c:v>
                </c:pt>
                <c:pt idx="108">
                  <c:v>46.217673358961072</c:v>
                </c:pt>
                <c:pt idx="109">
                  <c:v>46.350331336953708</c:v>
                </c:pt>
                <c:pt idx="110">
                  <c:v>46.480554330034586</c:v>
                </c:pt>
                <c:pt idx="111">
                  <c:v>46.608387033227785</c:v>
                </c:pt>
                <c:pt idx="112">
                  <c:v>46.733873321164133</c:v>
                </c:pt>
                <c:pt idx="113">
                  <c:v>46.857056263139832</c:v>
                </c:pt>
                <c:pt idx="114">
                  <c:v>46.977978137898646</c:v>
                </c:pt>
                <c:pt idx="115">
                  <c:v>47.096680448142799</c:v>
                </c:pt>
                <c:pt idx="116">
                  <c:v>47.213203934777475</c:v>
                </c:pt>
                <c:pt idx="117">
                  <c:v>47.327588590893896</c:v>
                </c:pt>
                <c:pt idx="118">
                  <c:v>47.439873675495697</c:v>
                </c:pt>
                <c:pt idx="119">
                  <c:v>47.550097726973384</c:v>
                </c:pt>
                <c:pt idx="120">
                  <c:v>47.658298576331433</c:v>
                </c:pt>
                <c:pt idx="121">
                  <c:v>47.764513360172629</c:v>
                </c:pt>
                <c:pt idx="122">
                  <c:v>47.868778533444058</c:v>
                </c:pt>
                <c:pt idx="123">
                  <c:v>47.971129881949125</c:v>
                </c:pt>
                <c:pt idx="124">
                  <c:v>48.071602534629939</c:v>
                </c:pt>
                <c:pt idx="125">
                  <c:v>48.17023097562425</c:v>
                </c:pt>
                <c:pt idx="126">
                  <c:v>48.267049056101044</c:v>
                </c:pt>
                <c:pt idx="127">
                  <c:v>48.362090005878926</c:v>
                </c:pt>
                <c:pt idx="128">
                  <c:v>48.45538644483122</c:v>
                </c:pt>
                <c:pt idx="129">
                  <c:v>48.546970394081747</c:v>
                </c:pt>
                <c:pt idx="130">
                  <c:v>48.636873286995076</c:v>
                </c:pt>
                <c:pt idx="131">
                  <c:v>48.725125979965064</c:v>
                </c:pt>
                <c:pt idx="132">
                  <c:v>48.811758763005351</c:v>
                </c:pt>
                <c:pt idx="133">
                  <c:v>48.896801370145489</c:v>
                </c:pt>
                <c:pt idx="134">
                  <c:v>48.980282989636208</c:v>
                </c:pt>
                <c:pt idx="135">
                  <c:v>49.06223227396741</c:v>
                </c:pt>
                <c:pt idx="136">
                  <c:v>49.142677349702225</c:v>
                </c:pt>
                <c:pt idx="137">
                  <c:v>49.221645827130601</c:v>
                </c:pt>
                <c:pt idx="138">
                  <c:v>49.299164809745676</c:v>
                </c:pt>
                <c:pt idx="139">
                  <c:v>49.375260903546234</c:v>
                </c:pt>
                <c:pt idx="140">
                  <c:v>49.449960226168365</c:v>
                </c:pt>
                <c:pt idx="141">
                  <c:v>49.523288415849564</c:v>
                </c:pt>
                <c:pt idx="142">
                  <c:v>49.595270640228243</c:v>
                </c:pt>
                <c:pt idx="143">
                  <c:v>49.665931604981765</c:v>
                </c:pt>
                <c:pt idx="144">
                  <c:v>49.735295562305886</c:v>
                </c:pt>
                <c:pt idx="145">
                  <c:v>49.803386319238598</c:v>
                </c:pt>
                <c:pt idx="146">
                  <c:v>49.870227245831131</c:v>
                </c:pt>
                <c:pt idx="147">
                  <c:v>49.935841283169033</c:v>
                </c:pt>
                <c:pt idx="148">
                  <c:v>50.00025095124596</c:v>
                </c:pt>
                <c:pt idx="149">
                  <c:v>50.06347835669299</c:v>
                </c:pt>
                <c:pt idx="150">
                  <c:v>50.125545200366027</c:v>
                </c:pt>
                <c:pt idx="151">
                  <c:v>50.186472784793963</c:v>
                </c:pt>
                <c:pt idx="152">
                  <c:v>50.24628202149011</c:v>
                </c:pt>
                <c:pt idx="153">
                  <c:v>50.304993438129429</c:v>
                </c:pt>
                <c:pt idx="154">
                  <c:v>50.362627185594015</c:v>
                </c:pt>
                <c:pt idx="155">
                  <c:v>50.419203044889279</c:v>
                </c:pt>
                <c:pt idx="156">
                  <c:v>50.474740433933164</c:v>
                </c:pt>
                <c:pt idx="157">
                  <c:v>50.529258414220735</c:v>
                </c:pt>
                <c:pt idx="158">
                  <c:v>50.582775697366465</c:v>
                </c:pt>
                <c:pt idx="159">
                  <c:v>50.635310651526403</c:v>
                </c:pt>
                <c:pt idx="160">
                  <c:v>50.6868813077025</c:v>
                </c:pt>
                <c:pt idx="161">
                  <c:v>50.737505365931163</c:v>
                </c:pt>
                <c:pt idx="162">
                  <c:v>50.787200201358267</c:v>
                </c:pt>
                <c:pt idx="163">
                  <c:v>50.835982870202649</c:v>
                </c:pt>
                <c:pt idx="164">
                  <c:v>50.883870115610087</c:v>
                </c:pt>
                <c:pt idx="165">
                  <c:v>50.930878373399914</c:v>
                </c:pt>
                <c:pt idx="166">
                  <c:v>50.97702377770608</c:v>
                </c:pt>
                <c:pt idx="167">
                  <c:v>51.022322166514705</c:v>
                </c:pt>
                <c:pt idx="168">
                  <c:v>51.06678908709997</c:v>
                </c:pt>
                <c:pt idx="169">
                  <c:v>51.110439801360251</c:v>
                </c:pt>
                <c:pt idx="170">
                  <c:v>51.153289291056282</c:v>
                </c:pt>
                <c:pt idx="171">
                  <c:v>51.195352262953193</c:v>
                </c:pt>
                <c:pt idx="172">
                  <c:v>51.236643153868151</c:v>
                </c:pt>
                <c:pt idx="173">
                  <c:v>51.277176135625346</c:v>
                </c:pt>
                <c:pt idx="174">
                  <c:v>51.316965119920035</c:v>
                </c:pt>
                <c:pt idx="175">
                  <c:v>51.356023763093312</c:v>
                </c:pt>
                <c:pt idx="176">
                  <c:v>51.394365470819203</c:v>
                </c:pt>
                <c:pt idx="177">
                  <c:v>51.432003402705782</c:v>
                </c:pt>
                <c:pt idx="178">
                  <c:v>51.46895047681177</c:v>
                </c:pt>
                <c:pt idx="179">
                  <c:v>51.505219374080276</c:v>
                </c:pt>
                <c:pt idx="180">
                  <c:v>51.540822542691139</c:v>
                </c:pt>
                <c:pt idx="181">
                  <c:v>51.575772202333376</c:v>
                </c:pt>
                <c:pt idx="182">
                  <c:v>51.610080348399208</c:v>
                </c:pt>
                <c:pt idx="183">
                  <c:v>51.643758756101136</c:v>
                </c:pt>
                <c:pt idx="184">
                  <c:v>51.676818984513375</c:v>
                </c:pt>
                <c:pt idx="185">
                  <c:v>51.709272380539161</c:v>
                </c:pt>
                <c:pt idx="186">
                  <c:v>51.741130082805327</c:v>
                </c:pt>
                <c:pt idx="187">
                  <c:v>51.772403025485112</c:v>
                </c:pt>
                <c:pt idx="188">
                  <c:v>51.8031019420511</c:v>
                </c:pt>
                <c:pt idx="189">
                  <c:v>51.833237368959118</c:v>
                </c:pt>
                <c:pt idx="190">
                  <c:v>51.862819649264566</c:v>
                </c:pt>
                <c:pt idx="191">
                  <c:v>51.891858936172341</c:v>
                </c:pt>
                <c:pt idx="192">
                  <c:v>51.920365196521601</c:v>
                </c:pt>
                <c:pt idx="193">
                  <c:v>51.948348214206597</c:v>
                </c:pt>
                <c:pt idx="194">
                  <c:v>51.975817593534671</c:v>
                </c:pt>
                <c:pt idx="195">
                  <c:v>52.002782762522656</c:v>
                </c:pt>
                <c:pt idx="196">
                  <c:v>52.029252976132739</c:v>
                </c:pt>
                <c:pt idx="197">
                  <c:v>52.055237319448949</c:v>
                </c:pt>
                <c:pt idx="198">
                  <c:v>52.080744710795337</c:v>
                </c:pt>
                <c:pt idx="199">
                  <c:v>52.105783904796887</c:v>
                </c:pt>
                <c:pt idx="200">
                  <c:v>52.130363495384316</c:v>
                </c:pt>
                <c:pt idx="201">
                  <c:v>52.154491918743631</c:v>
                </c:pt>
                <c:pt idx="202">
                  <c:v>52.178177456211628</c:v>
                </c:pt>
                <c:pt idx="203">
                  <c:v>52.201428237118172</c:v>
                </c:pt>
                <c:pt idx="204">
                  <c:v>52.224252241576352</c:v>
                </c:pt>
                <c:pt idx="205">
                  <c:v>52.246657303221426</c:v>
                </c:pt>
                <c:pt idx="206">
                  <c:v>52.268651111899445</c:v>
                </c:pt>
                <c:pt idx="207">
                  <c:v>52.290241216306576</c:v>
                </c:pt>
                <c:pt idx="208">
                  <c:v>52.31143502657995</c:v>
                </c:pt>
                <c:pt idx="209">
                  <c:v>52.332239816840961</c:v>
                </c:pt>
                <c:pt idx="210">
                  <c:v>52.3526627276919</c:v>
                </c:pt>
                <c:pt idx="211">
                  <c:v>52.372710768666721</c:v>
                </c:pt>
                <c:pt idx="212">
                  <c:v>52.392390820636862</c:v>
                </c:pt>
                <c:pt idx="213">
                  <c:v>52.411709638172894</c:v>
                </c:pt>
                <c:pt idx="214">
                  <c:v>52.430673851862821</c:v>
                </c:pt>
                <c:pt idx="215">
                  <c:v>52.449289970587806</c:v>
                </c:pt>
                <c:pt idx="216">
                  <c:v>52.467564383756162</c:v>
                </c:pt>
                <c:pt idx="217">
                  <c:v>52.485503363496321</c:v>
                </c:pt>
                <c:pt idx="218">
                  <c:v>52.503113066809533</c:v>
                </c:pt>
                <c:pt idx="219">
                  <c:v>52.520399537683076</c:v>
                </c:pt>
                <c:pt idx="220">
                  <c:v>52.537368709164667</c:v>
                </c:pt>
                <c:pt idx="221">
                  <c:v>52.554026405398794</c:v>
                </c:pt>
                <c:pt idx="222">
                  <c:v>52.570378343625691</c:v>
                </c:pt>
                <c:pt idx="223">
                  <c:v>52.586430136143576</c:v>
                </c:pt>
                <c:pt idx="224">
                  <c:v>52.602187292234923</c:v>
                </c:pt>
                <c:pt idx="225">
                  <c:v>52.617655220057337</c:v>
                </c:pt>
                <c:pt idx="226">
                  <c:v>52.632839228499748</c:v>
                </c:pt>
                <c:pt idx="227">
                  <c:v>52.647744529004527</c:v>
                </c:pt>
                <c:pt idx="228">
                  <c:v>52.662376237356135</c:v>
                </c:pt>
                <c:pt idx="229">
                  <c:v>52.676739375436966</c:v>
                </c:pt>
                <c:pt idx="230">
                  <c:v>52.69083887295097</c:v>
                </c:pt>
                <c:pt idx="231">
                  <c:v>52.704679569115598</c:v>
                </c:pt>
                <c:pt idx="232">
                  <c:v>52.718266214322725</c:v>
                </c:pt>
                <c:pt idx="233">
                  <c:v>52.731603471769077</c:v>
                </c:pt>
                <c:pt idx="234">
                  <c:v>52.744695919056724</c:v>
                </c:pt>
                <c:pt idx="235">
                  <c:v>52.757548049764203</c:v>
                </c:pt>
                <c:pt idx="236">
                  <c:v>52.770164274988794</c:v>
                </c:pt>
                <c:pt idx="237">
                  <c:v>52.782548924860514</c:v>
                </c:pt>
                <c:pt idx="238">
                  <c:v>52.79470625002827</c:v>
                </c:pt>
                <c:pt idx="239">
                  <c:v>52.806640423118793</c:v>
                </c:pt>
                <c:pt idx="240">
                  <c:v>52.818355540168739</c:v>
                </c:pt>
                <c:pt idx="241">
                  <c:v>52.829855622030543</c:v>
                </c:pt>
                <c:pt idx="242">
                  <c:v>52.841144615752448</c:v>
                </c:pt>
                <c:pt idx="243">
                  <c:v>52.852226395933201</c:v>
                </c:pt>
                <c:pt idx="244">
                  <c:v>52.863104766051904</c:v>
                </c:pt>
                <c:pt idx="245">
                  <c:v>52.873783459773421</c:v>
                </c:pt>
                <c:pt idx="246">
                  <c:v>52.884266142229855</c:v>
                </c:pt>
                <c:pt idx="247">
                  <c:v>52.894556411278501</c:v>
                </c:pt>
                <c:pt idx="248">
                  <c:v>52.904657798736679</c:v>
                </c:pt>
                <c:pt idx="249">
                  <c:v>52.914573771593936</c:v>
                </c:pt>
                <c:pt idx="250">
                  <c:v>52.924307733201978</c:v>
                </c:pt>
                <c:pt idx="251">
                  <c:v>52.933863024442765</c:v>
                </c:pt>
                <c:pt idx="252">
                  <c:v>52.943242924875165</c:v>
                </c:pt>
                <c:pt idx="253">
                  <c:v>52.952450653860566</c:v>
                </c:pt>
                <c:pt idx="254">
                  <c:v>52.961489371667824</c:v>
                </c:pt>
                <c:pt idx="255">
                  <c:v>52.970362180557913</c:v>
                </c:pt>
                <c:pt idx="256">
                  <c:v>52.979072125848703</c:v>
                </c:pt>
                <c:pt idx="257">
                  <c:v>52.987622196960146</c:v>
                </c:pt>
                <c:pt idx="258">
                  <c:v>52.996015328440322</c:v>
                </c:pt>
                <c:pt idx="259">
                  <c:v>53.00425440097262</c:v>
                </c:pt>
                <c:pt idx="260">
                  <c:v>53.012342242364461</c:v>
                </c:pt>
                <c:pt idx="261">
                  <c:v>53.020281628517829</c:v>
                </c:pt>
                <c:pt idx="262">
                  <c:v>53.028075284382041</c:v>
                </c:pt>
                <c:pt idx="263">
                  <c:v>53.035725884888976</c:v>
                </c:pt>
                <c:pt idx="264">
                  <c:v>53.043236055871191</c:v>
                </c:pt>
                <c:pt idx="265">
                  <c:v>53.050608374963126</c:v>
                </c:pt>
                <c:pt idx="266">
                  <c:v>53.057845372485829</c:v>
                </c:pt>
                <c:pt idx="267">
                  <c:v>53.064949532315381</c:v>
                </c:pt>
                <c:pt idx="268">
                  <c:v>53.071923292735434</c:v>
                </c:pt>
                <c:pt idx="269">
                  <c:v>53.078769047274065</c:v>
                </c:pt>
                <c:pt idx="270">
                  <c:v>53.085489145525273</c:v>
                </c:pt>
                <c:pt idx="271">
                  <c:v>53.092085893955428</c:v>
                </c:pt>
                <c:pt idx="272">
                  <c:v>53.098561556694868</c:v>
                </c:pt>
                <c:pt idx="273">
                  <c:v>53.104918356315004</c:v>
                </c:pt>
                <c:pt idx="274">
                  <c:v>53.111158474591157</c:v>
                </c:pt>
                <c:pt idx="275">
                  <c:v>53.117284053251382</c:v>
                </c:pt>
                <c:pt idx="276">
                  <c:v>53.123297194711526</c:v>
                </c:pt>
                <c:pt idx="277">
                  <c:v>53.129199962796854</c:v>
                </c:pt>
                <c:pt idx="278">
                  <c:v>53.134994383450362</c:v>
                </c:pt>
                <c:pt idx="279">
                  <c:v>53.140682445428148</c:v>
                </c:pt>
                <c:pt idx="280">
                  <c:v>53.146266100981961</c:v>
                </c:pt>
                <c:pt idx="281">
                  <c:v>53.151747266529284</c:v>
                </c:pt>
                <c:pt idx="282">
                  <c:v>53.15712782331105</c:v>
                </c:pt>
                <c:pt idx="283">
                  <c:v>53.162409618037351</c:v>
                </c:pt>
                <c:pt idx="284">
                  <c:v>53.167594463521247</c:v>
                </c:pt>
                <c:pt idx="285">
                  <c:v>53.172684139300962</c:v>
                </c:pt>
                <c:pt idx="286">
                  <c:v>53.17768039225065</c:v>
                </c:pt>
                <c:pt idx="287">
                  <c:v>53.182584937179968</c:v>
                </c:pt>
                <c:pt idx="288">
                  <c:v>53.187399457422629</c:v>
                </c:pt>
                <c:pt idx="289">
                  <c:v>53.192125605414134</c:v>
                </c:pt>
                <c:pt idx="290">
                  <c:v>53.196765003258953</c:v>
                </c:pt>
                <c:pt idx="291">
                  <c:v>53.201319243287237</c:v>
                </c:pt>
                <c:pt idx="292">
                  <c:v>53.205789888601345</c:v>
                </c:pt>
                <c:pt idx="293">
                  <c:v>53.210178473612331</c:v>
                </c:pt>
                <c:pt idx="294">
                  <c:v>53.21448650456658</c:v>
                </c:pt>
                <c:pt idx="295">
                  <c:v>53.218715460062789</c:v>
                </c:pt>
                <c:pt idx="296">
                  <c:v>53.222866791559433</c:v>
                </c:pt>
                <c:pt idx="297">
                  <c:v>53.22694192387295</c:v>
                </c:pt>
                <c:pt idx="298">
                  <c:v>53.230942255666768</c:v>
                </c:pt>
                <c:pt idx="299">
                  <c:v>53.234869159931328</c:v>
                </c:pt>
                <c:pt idx="300">
                  <c:v>53.238723984455348</c:v>
                </c:pt>
                <c:pt idx="301">
                  <c:v>53.2425080522884</c:v>
                </c:pt>
                <c:pt idx="302">
                  <c:v>53.246222662195002</c:v>
                </c:pt>
                <c:pt idx="303">
                  <c:v>53.249869089100379</c:v>
                </c:pt>
                <c:pt idx="304">
                  <c:v>53.253448584528051</c:v>
                </c:pt>
                <c:pt idx="305">
                  <c:v>53.256962377029375</c:v>
                </c:pt>
                <c:pt idx="306">
                  <c:v>53.260411672605194</c:v>
                </c:pt>
                <c:pt idx="307">
                  <c:v>53.263797655119781</c:v>
                </c:pt>
                <c:pt idx="308">
                  <c:v>53.267121486707154</c:v>
                </c:pt>
                <c:pt idx="309">
                  <c:v>53.270384308169945</c:v>
                </c:pt>
                <c:pt idx="310">
                  <c:v>53.27358723937094</c:v>
                </c:pt>
                <c:pt idx="311">
                  <c:v>53.276731379617438</c:v>
                </c:pt>
                <c:pt idx="312">
                  <c:v>53.279817808038558</c:v>
                </c:pt>
                <c:pt idx="313">
                  <c:v>53.282847583955622</c:v>
                </c:pt>
                <c:pt idx="314">
                  <c:v>53.28582174724572</c:v>
                </c:pt>
                <c:pt idx="315">
                  <c:v>53.288741318698627</c:v>
                </c:pt>
                <c:pt idx="316">
                  <c:v>53.291607300367154</c:v>
                </c:pt>
                <c:pt idx="317">
                  <c:v>53.294420675911077</c:v>
                </c:pt>
                <c:pt idx="318">
                  <c:v>53.297182410934738</c:v>
                </c:pt>
                <c:pt idx="319">
                  <c:v>53.299893453318461</c:v>
                </c:pt>
                <c:pt idx="320">
                  <c:v>53.302554733543893</c:v>
                </c:pt>
                <c:pt idx="321">
                  <c:v>53.305167165013351</c:v>
                </c:pt>
                <c:pt idx="322">
                  <c:v>53.307731644363329</c:v>
                </c:pt>
                <c:pt idx="323">
                  <c:v>53.310249051772225</c:v>
                </c:pt>
                <c:pt idx="324">
                  <c:v>53.312720251262455</c:v>
                </c:pt>
                <c:pt idx="325">
                  <c:v>53.31514609099699</c:v>
                </c:pt>
                <c:pt idx="326">
                  <c:v>53.317527403570466</c:v>
                </c:pt>
                <c:pt idx="327">
                  <c:v>53.319865006294947</c:v>
                </c:pt>
                <c:pt idx="328">
                  <c:v>53.32215970148043</c:v>
                </c:pt>
                <c:pt idx="329">
                  <c:v>53.324412276710234</c:v>
                </c:pt>
                <c:pt idx="330">
                  <c:v>53.326623505111293</c:v>
                </c:pt>
                <c:pt idx="331">
                  <c:v>53.328794145619533</c:v>
                </c:pt>
                <c:pt idx="332">
                  <c:v>53.330924943240319</c:v>
                </c:pt>
                <c:pt idx="333">
                  <c:v>53.33301662930419</c:v>
                </c:pt>
                <c:pt idx="334">
                  <c:v>53.335069921717846</c:v>
                </c:pt>
                <c:pt idx="335">
                  <c:v>53.33708552521054</c:v>
                </c:pt>
                <c:pt idx="336">
                  <c:v>53.339064131575988</c:v>
                </c:pt>
                <c:pt idx="337">
                  <c:v>53.34100641990976</c:v>
                </c:pt>
                <c:pt idx="338">
                  <c:v>53.342913056842399</c:v>
                </c:pt>
                <c:pt idx="339">
                  <c:v>53.344784696768201</c:v>
                </c:pt>
                <c:pt idx="340">
                  <c:v>53.346621982069813</c:v>
                </c:pt>
                <c:pt idx="341">
                  <c:v>53.34842554333872</c:v>
                </c:pt>
                <c:pt idx="342">
                  <c:v>53.350195999591683</c:v>
                </c:pt>
                <c:pt idx="343">
                  <c:v>53.351933958483173</c:v>
                </c:pt>
                <c:pt idx="344">
                  <c:v>53.35364001651395</c:v>
                </c:pt>
                <c:pt idx="345">
                  <c:v>53.355314759235796</c:v>
                </c:pt>
                <c:pt idx="346">
                  <c:v>53.356958761452468</c:v>
                </c:pt>
                <c:pt idx="347">
                  <c:v>53.358572587416994</c:v>
                </c:pt>
                <c:pt idx="348">
                  <c:v>53.360156791025346</c:v>
                </c:pt>
                <c:pt idx="349">
                  <c:v>53.361711916006527</c:v>
                </c:pt>
                <c:pt idx="350">
                  <c:v>53.363238496109197</c:v>
                </c:pt>
                <c:pt idx="351">
                  <c:v>53.36473705528487</c:v>
                </c:pt>
                <c:pt idx="352">
                  <c:v>53.366208107867749</c:v>
                </c:pt>
                <c:pt idx="353">
                  <c:v>53.367652158751234</c:v>
                </c:pt>
                <c:pt idx="354">
                  <c:v>53.36906970356123</c:v>
                </c:pt>
                <c:pt idx="355">
                  <c:v>53.370461228826258</c:v>
                </c:pt>
                <c:pt idx="356">
                  <c:v>53.371827212144424</c:v>
                </c:pt>
                <c:pt idx="357">
                  <c:v>53.373168122347352</c:v>
                </c:pt>
                <c:pt idx="358">
                  <c:v>53.374484419661094</c:v>
                </c:pt>
                <c:pt idx="359">
                  <c:v>53.375776555864086</c:v>
                </c:pt>
                <c:pt idx="360">
                  <c:v>53.377044974442207</c:v>
                </c:pt>
                <c:pt idx="361">
                  <c:v>53.378290110740991</c:v>
                </c:pt>
                <c:pt idx="362">
                  <c:v>53.379512392115053</c:v>
                </c:pt>
                <c:pt idx="363">
                  <c:v>53.380712238074764</c:v>
                </c:pt>
                <c:pt idx="364">
                  <c:v>53.381890060430223</c:v>
                </c:pt>
                <c:pt idx="365">
                  <c:v>53.383046263432604</c:v>
                </c:pt>
                <c:pt idx="366">
                  <c:v>53.384181243912913</c:v>
                </c:pt>
                <c:pt idx="367">
                  <c:v>53.385295391418182</c:v>
                </c:pt>
                <c:pt idx="368">
                  <c:v>53.386389088345162</c:v>
                </c:pt>
                <c:pt idx="369">
                  <c:v>53.387462710071574</c:v>
                </c:pt>
                <c:pt idx="370">
                  <c:v>53.388516625084947</c:v>
                </c:pt>
                <c:pt idx="371">
                  <c:v>53.389551195109085</c:v>
                </c:pt>
                <c:pt idx="372">
                  <c:v>53.39056677522823</c:v>
                </c:pt>
                <c:pt idx="373">
                  <c:v>53.391563714008917</c:v>
                </c:pt>
                <c:pt idx="374">
                  <c:v>53.392542353619618</c:v>
                </c:pt>
                <c:pt idx="375">
                  <c:v>53.393503029948185</c:v>
                </c:pt>
                <c:pt idx="376">
                  <c:v>53.394446072717123</c:v>
                </c:pt>
                <c:pt idx="377">
                  <c:v>53.395371805596767</c:v>
                </c:pt>
                <c:pt idx="378">
                  <c:v>53.396280546316355</c:v>
                </c:pt>
                <c:pt idx="379">
                  <c:v>53.397172606773104</c:v>
                </c:pt>
                <c:pt idx="380">
                  <c:v>53.398048293139233</c:v>
                </c:pt>
                <c:pt idx="381">
                  <c:v>53.398907905967071</c:v>
                </c:pt>
                <c:pt idx="382">
                  <c:v>53.399751740292196</c:v>
                </c:pt>
                <c:pt idx="383">
                  <c:v>53.400580085734703</c:v>
                </c:pt>
                <c:pt idx="384">
                  <c:v>53.4013932265986</c:v>
                </c:pt>
                <c:pt idx="385">
                  <c:v>53.402191441969407</c:v>
                </c:pt>
                <c:pt idx="386">
                  <c:v>53.402975005809907</c:v>
                </c:pt>
                <c:pt idx="387">
                  <c:v>53.403744187054215</c:v>
                </c:pt>
                <c:pt idx="388">
                  <c:v>53.404499249700066</c:v>
                </c:pt>
                <c:pt idx="389">
                  <c:v>53.405240452899406</c:v>
                </c:pt>
                <c:pt idx="390">
                  <c:v>53.40596805104736</c:v>
                </c:pt>
                <c:pt idx="391">
                  <c:v>53.406682293869544</c:v>
                </c:pt>
                <c:pt idx="392">
                  <c:v>53.407383426507771</c:v>
                </c:pt>
                <c:pt idx="393">
                  <c:v>53.408071689604178</c:v>
                </c:pt>
                <c:pt idx="394">
                  <c:v>53.408747319383835</c:v>
                </c:pt>
                <c:pt idx="395">
                  <c:v>53.409410547735817</c:v>
                </c:pt>
                <c:pt idx="396">
                  <c:v>53.410061602292792</c:v>
                </c:pt>
                <c:pt idx="397">
                  <c:v>53.410700706509154</c:v>
                </c:pt>
                <c:pt idx="398">
                  <c:v>53.411328079737693</c:v>
                </c:pt>
                <c:pt idx="399">
                  <c:v>53.411943937304919</c:v>
                </c:pt>
                <c:pt idx="400">
                  <c:v>53.412548490584932</c:v>
                </c:pt>
                <c:pt idx="401">
                  <c:v>53.413141947071992</c:v>
                </c:pt>
                <c:pt idx="402">
                  <c:v>53.413724510451729</c:v>
                </c:pt>
                <c:pt idx="403">
                  <c:v>53.414296380671047</c:v>
                </c:pt>
                <c:pt idx="404">
                  <c:v>53.414857754006746</c:v>
                </c:pt>
                <c:pt idx="405">
                  <c:v>53.415408823132907</c:v>
                </c:pt>
                <c:pt idx="406">
                  <c:v>53.415949777187002</c:v>
                </c:pt>
                <c:pt idx="407">
                  <c:v>53.416480801834815</c:v>
                </c:pt>
                <c:pt idx="408">
                  <c:v>53.417002079334175</c:v>
                </c:pt>
                <c:pt idx="409">
                  <c:v>53.417513788597496</c:v>
                </c:pt>
                <c:pt idx="410">
                  <c:v>53.418016105253194</c:v>
                </c:pt>
                <c:pt idx="411">
                  <c:v>53.418509201705966</c:v>
                </c:pt>
                <c:pt idx="412">
                  <c:v>53.418993247195942</c:v>
                </c:pt>
                <c:pt idx="413">
                  <c:v>53.419468407856812</c:v>
                </c:pt>
                <c:pt idx="414">
                  <c:v>53.419934846772804</c:v>
                </c:pt>
                <c:pt idx="415">
                  <c:v>53.420392724034684</c:v>
                </c:pt>
                <c:pt idx="416">
                  <c:v>53.420842196794695</c:v>
                </c:pt>
                <c:pt idx="417">
                  <c:v>53.421283419320488</c:v>
                </c:pt>
                <c:pt idx="418">
                  <c:v>53.421716543048085</c:v>
                </c:pt>
                <c:pt idx="419">
                  <c:v>53.422141716633838</c:v>
                </c:pt>
                <c:pt idx="420">
                  <c:v>53.422559086005464</c:v>
                </c:pt>
                <c:pt idx="421">
                  <c:v>53.422968794412121</c:v>
                </c:pt>
                <c:pt idx="422">
                  <c:v>53.423370982473571</c:v>
                </c:pt>
                <c:pt idx="423">
                  <c:v>53.423765788228458</c:v>
                </c:pt>
                <c:pt idx="424">
                  <c:v>53.424153347181679</c:v>
                </c:pt>
                <c:pt idx="425">
                  <c:v>53.424533792350886</c:v>
                </c:pt>
                <c:pt idx="426">
                  <c:v>53.424907254312139</c:v>
                </c:pt>
                <c:pt idx="427">
                  <c:v>53.425273861244733</c:v>
                </c:pt>
                <c:pt idx="428">
                  <c:v>53.425633738975186</c:v>
                </c:pt>
                <c:pt idx="429">
                  <c:v>53.425987011020432</c:v>
                </c:pt>
                <c:pt idx="430">
                  <c:v>53.426333798630189</c:v>
                </c:pt>
                <c:pt idx="431">
                  <c:v>53.426674220828609</c:v>
                </c:pt>
                <c:pt idx="432">
                  <c:v>53.4270083944551</c:v>
                </c:pt>
                <c:pt idx="433">
                  <c:v>53.427336434204456</c:v>
                </c:pt>
                <c:pt idx="434">
                  <c:v>53.427658452666194</c:v>
                </c:pt>
                <c:pt idx="435">
                  <c:v>53.427974560363218</c:v>
                </c:pt>
                <c:pt idx="436">
                  <c:v>53.428284865789735</c:v>
                </c:pt>
                <c:pt idx="437">
                  <c:v>53.428589475448511</c:v>
                </c:pt>
                <c:pt idx="438">
                  <c:v>53.428888493887413</c:v>
                </c:pt>
                <c:pt idx="439">
                  <c:v>53.429182023735294</c:v>
                </c:pt>
                <c:pt idx="440">
                  <c:v>53.429470165737214</c:v>
                </c:pt>
                <c:pt idx="441">
                  <c:v>53.429753018789029</c:v>
                </c:pt>
                <c:pt idx="442">
                  <c:v>53.430030679971317</c:v>
                </c:pt>
                <c:pt idx="443">
                  <c:v>53.43030324458271</c:v>
                </c:pt>
                <c:pt idx="444">
                  <c:v>53.430570806172604</c:v>
                </c:pt>
                <c:pt idx="445">
                  <c:v>53.430833456573254</c:v>
                </c:pt>
                <c:pt idx="446">
                  <c:v>53.431091285931309</c:v>
                </c:pt>
                <c:pt idx="447">
                  <c:v>53.431344382738736</c:v>
                </c:pt>
                <c:pt idx="448">
                  <c:v>53.431592833863206</c:v>
                </c:pt>
                <c:pt idx="449">
                  <c:v>53.431836724577906</c:v>
                </c:pt>
                <c:pt idx="450">
                  <c:v>53.432076138590794</c:v>
                </c:pt>
                <c:pt idx="451">
                  <c:v>53.43231115807334</c:v>
                </c:pt>
                <c:pt idx="452">
                  <c:v>53.432541863688733</c:v>
                </c:pt>
                <c:pt idx="453">
                  <c:v>53.43276833461956</c:v>
                </c:pt>
                <c:pt idx="454">
                  <c:v>53.432990648594973</c:v>
                </c:pt>
                <c:pt idx="455">
                  <c:v>53.433208881917388</c:v>
                </c:pt>
                <c:pt idx="456">
                  <c:v>53.433423109488658</c:v>
                </c:pt>
                <c:pt idx="457">
                  <c:v>53.433633404835781</c:v>
                </c:pt>
                <c:pt idx="458">
                  <c:v>53.433839840136152</c:v>
                </c:pt>
                <c:pt idx="459">
                  <c:v>53.434042486242319</c:v>
                </c:pt>
                <c:pt idx="460">
                  <c:v>53.434241412706299</c:v>
                </c:pt>
                <c:pt idx="461">
                  <c:v>53.434436687803469</c:v>
                </c:pt>
                <c:pt idx="462">
                  <c:v>53.434628378555978</c:v>
                </c:pt>
                <c:pt idx="463">
                  <c:v>53.434816550755755</c:v>
                </c:pt>
                <c:pt idx="464">
                  <c:v>53.435001268987108</c:v>
                </c:pt>
                <c:pt idx="465">
                  <c:v>53.435182596648872</c:v>
                </c:pt>
                <c:pt idx="466">
                  <c:v>53.435360595976171</c:v>
                </c:pt>
                <c:pt idx="467">
                  <c:v>53.435535328061775</c:v>
                </c:pt>
                <c:pt idx="468">
                  <c:v>53.43570685287709</c:v>
                </c:pt>
                <c:pt idx="469">
                  <c:v>53.435875229292705</c:v>
                </c:pt>
                <c:pt idx="470">
                  <c:v>53.43604051509864</c:v>
                </c:pt>
                <c:pt idx="471">
                  <c:v>53.436202767024142</c:v>
                </c:pt>
                <c:pt idx="472">
                  <c:v>53.436362040757182</c:v>
                </c:pt>
                <c:pt idx="473">
                  <c:v>53.436518390963549</c:v>
                </c:pt>
                <c:pt idx="474">
                  <c:v>53.436671871305627</c:v>
                </c:pt>
                <c:pt idx="475">
                  <c:v>53.436822534460809</c:v>
                </c:pt>
                <c:pt idx="476">
                  <c:v>53.436970432139574</c:v>
                </c:pt>
                <c:pt idx="477">
                  <c:v>53.437115615103238</c:v>
                </c:pt>
                <c:pt idx="478">
                  <c:v>53.437258133181373</c:v>
                </c:pt>
                <c:pt idx="479">
                  <c:v>53.437398035288908</c:v>
                </c:pt>
                <c:pt idx="480">
                  <c:v>53.437535369442926</c:v>
                </c:pt>
                <c:pt idx="481">
                  <c:v>53.437670182779144</c:v>
                </c:pt>
                <c:pt idx="482">
                  <c:v>53.437802521568074</c:v>
                </c:pt>
                <c:pt idx="483">
                  <c:v>53.437932431230919</c:v>
                </c:pt>
                <c:pt idx="484">
                  <c:v>53.438059956355168</c:v>
                </c:pt>
                <c:pt idx="485">
                  <c:v>53.438185140709884</c:v>
                </c:pt>
                <c:pt idx="486">
                  <c:v>53.438308027260732</c:v>
                </c:pt>
                <c:pt idx="487">
                  <c:v>53.438428658184726</c:v>
                </c:pt>
                <c:pt idx="488">
                  <c:v>53.43854707488471</c:v>
                </c:pt>
                <c:pt idx="489">
                  <c:v>53.438663318003563</c:v>
                </c:pt>
                <c:pt idx="490">
                  <c:v>53.438777427438154</c:v>
                </c:pt>
                <c:pt idx="491">
                  <c:v>53.438889442353016</c:v>
                </c:pt>
                <c:pt idx="492">
                  <c:v>53.438999401193819</c:v>
                </c:pt>
                <c:pt idx="493">
                  <c:v>53.439107341700542</c:v>
                </c:pt>
                <c:pt idx="494">
                  <c:v>53.439213300920429</c:v>
                </c:pt>
                <c:pt idx="495">
                  <c:v>53.439317315220713</c:v>
                </c:pt>
                <c:pt idx="496">
                  <c:v>53.439419420301093</c:v>
                </c:pt>
                <c:pt idx="497">
                  <c:v>53.439519651205991</c:v>
                </c:pt>
                <c:pt idx="498">
                  <c:v>53.439618042336569</c:v>
                </c:pt>
                <c:pt idx="499">
                  <c:v>53.43971462746255</c:v>
                </c:pt>
                <c:pt idx="500">
                  <c:v>53.439809439733793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15-4C6F-A77B-473C8A03FC64}"/>
            </c:ext>
          </c:extLst>
        </c:ser>
        <c:ser>
          <c:idx val="3"/>
          <c:order val="3"/>
          <c:tx>
            <c:strRef>
              <c:f>'Example 1.1'!$O$10</c:f>
              <c:strCache>
                <c:ptCount val="1"/>
                <c:pt idx="0">
                  <c:v>Analytical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'Example 1.1'!$N$13:$N$64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'Example 1.1'!$O$13:$O$64</c:f>
              <c:numCache>
                <c:formatCode>General</c:formatCode>
                <c:ptCount val="52"/>
                <c:pt idx="0">
                  <c:v>0</c:v>
                </c:pt>
                <c:pt idx="1">
                  <c:v>8.9623181081134007</c:v>
                </c:pt>
                <c:pt idx="2">
                  <c:v>16.42172057920007</c:v>
                </c:pt>
                <c:pt idx="3">
                  <c:v>22.630235447165056</c:v>
                </c:pt>
                <c:pt idx="4">
                  <c:v>27.797627475567975</c:v>
                </c:pt>
                <c:pt idx="5">
                  <c:v>32.098485401024519</c:v>
                </c:pt>
                <c:pt idx="6">
                  <c:v>35.678120697377175</c:v>
                </c:pt>
                <c:pt idx="7">
                  <c:v>38.657477159967954</c:v>
                </c:pt>
                <c:pt idx="8">
                  <c:v>41.137217188295963</c:v>
                </c:pt>
                <c:pt idx="9">
                  <c:v>43.201122828759345</c:v>
                </c:pt>
                <c:pt idx="10">
                  <c:v>44.918926487237513</c:v>
                </c:pt>
                <c:pt idx="11">
                  <c:v>46.34866695173784</c:v>
                </c:pt>
                <c:pt idx="12">
                  <c:v>47.538650327160717</c:v>
                </c:pt>
                <c:pt idx="13">
                  <c:v>48.529082135550297</c:v>
                </c:pt>
                <c:pt idx="14">
                  <c:v>49.35342572499016</c:v>
                </c:pt>
                <c:pt idx="15">
                  <c:v>50.039532883195747</c:v>
                </c:pt>
                <c:pt idx="16">
                  <c:v>50.610584855421081</c:v>
                </c:pt>
                <c:pt idx="17">
                  <c:v>51.085875560498863</c:v>
                </c:pt>
                <c:pt idx="18">
                  <c:v>51.481463467240552</c:v>
                </c:pt>
                <c:pt idx="19">
                  <c:v>51.810714155899952</c:v>
                </c:pt>
                <c:pt idx="20">
                  <c:v>52.084751896020961</c:v>
                </c:pt>
                <c:pt idx="21">
                  <c:v>52.312835497960855</c:v>
                </c:pt>
                <c:pt idx="22">
                  <c:v>52.502671136843666</c:v>
                </c:pt>
                <c:pt idx="23">
                  <c:v>52.660672718209199</c:v>
                </c:pt>
                <c:pt idx="24">
                  <c:v>52.792178582234115</c:v>
                </c:pt>
                <c:pt idx="25">
                  <c:v>52.9016318682296</c:v>
                </c:pt>
                <c:pt idx="26">
                  <c:v>52.992730633322992</c:v>
                </c:pt>
                <c:pt idx="27">
                  <c:v>53.068552797327122</c:v>
                </c:pt>
                <c:pt idx="28">
                  <c:v>53.131660135262784</c:v>
                </c:pt>
                <c:pt idx="29">
                  <c:v>53.184184831090619</c:v>
                </c:pt>
                <c:pt idx="30">
                  <c:v>53.227901517011034</c:v>
                </c:pt>
                <c:pt idx="31">
                  <c:v>53.264287232296816</c:v>
                </c:pt>
                <c:pt idx="32">
                  <c:v>53.294571327465157</c:v>
                </c:pt>
                <c:pt idx="33">
                  <c:v>53.319776999882521</c:v>
                </c:pt>
                <c:pt idx="34">
                  <c:v>53.340755864150381</c:v>
                </c:pt>
                <c:pt idx="35">
                  <c:v>53.358216725288372</c:v>
                </c:pt>
                <c:pt idx="36">
                  <c:v>53.372749526863686</c:v>
                </c:pt>
                <c:pt idx="37">
                  <c:v>53.38484528319313</c:v>
                </c:pt>
                <c:pt idx="38">
                  <c:v>53.394912669059721</c:v>
                </c:pt>
                <c:pt idx="39">
                  <c:v>53.403291827454311</c:v>
                </c:pt>
                <c:pt idx="40">
                  <c:v>53.41026586185928</c:v>
                </c:pt>
                <c:pt idx="41">
                  <c:v>53.416070401359704</c:v>
                </c:pt>
                <c:pt idx="42">
                  <c:v>53.420901561754889</c:v>
                </c:pt>
                <c:pt idx="43">
                  <c:v>53.424922571649347</c:v>
                </c:pt>
                <c:pt idx="44">
                  <c:v>53.428269287396454</c:v>
                </c:pt>
                <c:pt idx="45">
                  <c:v>53.431054783226095</c:v>
                </c:pt>
                <c:pt idx="46">
                  <c:v>53.43337317164125</c:v>
                </c:pt>
                <c:pt idx="47">
                  <c:v>53.435302783161873</c:v>
                </c:pt>
                <c:pt idx="48">
                  <c:v>53.436908812848785</c:v>
                </c:pt>
                <c:pt idx="49">
                  <c:v>53.438245523024733</c:v>
                </c:pt>
                <c:pt idx="50">
                  <c:v>53.43935807661515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E-405E-9A6A-9B8E22EDB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601119"/>
        <c:axId val="488601535"/>
      </c:scatterChart>
      <c:valAx>
        <c:axId val="4886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  <a:r>
                  <a:rPr lang="en-CA" baseline="0"/>
                  <a:t>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01535"/>
        <c:crosses val="autoZero"/>
        <c:crossBetween val="midCat"/>
      </c:valAx>
      <c:valAx>
        <c:axId val="4886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01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91602764932914"/>
          <c:y val="0.4110967772946339"/>
          <c:w val="0.26458115200753202"/>
          <c:h val="0.2607575181395935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'Example 1.1'!$AC$31</c:f>
              <c:strCache>
                <c:ptCount val="1"/>
                <c:pt idx="0">
                  <c:v>Δt=5, ε_true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'Example 1.1'!$S$14:$S$24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'Example 1.1'!$U$14:$U$24</c:f>
              <c:numCache>
                <c:formatCode>0.0000</c:formatCode>
                <c:ptCount val="11"/>
                <c:pt idx="1">
                  <c:v>-52.810948514207553</c:v>
                </c:pt>
                <c:pt idx="2">
                  <c:v>-18.176199494201345</c:v>
                </c:pt>
                <c:pt idx="3">
                  <c:v>-6.7459232485812262</c:v>
                </c:pt>
                <c:pt idx="4">
                  <c:v>-2.606682822611071</c:v>
                </c:pt>
                <c:pt idx="5">
                  <c:v>-1.0265225326748026</c:v>
                </c:pt>
                <c:pt idx="6">
                  <c:v>-0.40760945184778169</c:v>
                </c:pt>
                <c:pt idx="7">
                  <c:v>-0.162415315043449</c:v>
                </c:pt>
                <c:pt idx="8">
                  <c:v>-6.4807815193936594E-2</c:v>
                </c:pt>
                <c:pt idx="9">
                  <c:v>-2.587485431620816E-2</c:v>
                </c:pt>
                <c:pt idx="10">
                  <c:v>-1.033306317283436E-2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CE-45F0-8964-C511CA2A72D1}"/>
            </c:ext>
          </c:extLst>
        </c:ser>
        <c:ser>
          <c:idx val="1"/>
          <c:order val="1"/>
          <c:tx>
            <c:strRef>
              <c:f>'Example 1.1'!$AC$32</c:f>
              <c:strCache>
                <c:ptCount val="1"/>
                <c:pt idx="0">
                  <c:v>Δt=1, ε_true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'Example 1.1'!$S$14:$S$24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'Example 1.1'!$X$14:$X$24</c:f>
              <c:numCache>
                <c:formatCode>0.0000</c:formatCode>
                <c:ptCount val="11"/>
                <c:pt idx="1">
                  <c:v>-6.0996070853132185</c:v>
                </c:pt>
                <c:pt idx="2">
                  <c:v>-3.3221379500280235</c:v>
                </c:pt>
                <c:pt idx="3">
                  <c:v>-1.7060430146066174</c:v>
                </c:pt>
                <c:pt idx="4">
                  <c:v>-0.83412247387968352</c:v>
                </c:pt>
                <c:pt idx="5">
                  <c:v>-0.3921139396830346</c:v>
                </c:pt>
                <c:pt idx="6">
                  <c:v>-0.17876613368420061</c:v>
                </c:pt>
                <c:pt idx="7">
                  <c:v>-7.959054588776758E-2</c:v>
                </c:pt>
                <c:pt idx="8">
                  <c:v>-3.4789554402797171E-2</c:v>
                </c:pt>
                <c:pt idx="9">
                  <c:v>-1.4989131852591287E-2</c:v>
                </c:pt>
                <c:pt idx="10">
                  <c:v>-6.3845944556507198E-3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CE-45F0-8964-C511CA2A72D1}"/>
            </c:ext>
          </c:extLst>
        </c:ser>
        <c:ser>
          <c:idx val="2"/>
          <c:order val="2"/>
          <c:tx>
            <c:strRef>
              <c:f>'Example 1.1'!$AC$33</c:f>
              <c:strCache>
                <c:ptCount val="1"/>
                <c:pt idx="0">
                  <c:v>Δt=1, ε_approx (%)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'Example 1.1'!$S$14:$S$24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'Example 1.1'!$W$14:$W$24</c:f>
              <c:numCache>
                <c:formatCode>0.0000</c:formatCode>
                <c:ptCount val="11"/>
                <c:pt idx="1">
                  <c:v>-44.025932528981365</c:v>
                </c:pt>
                <c:pt idx="2">
                  <c:v>-14.376455848559308</c:v>
                </c:pt>
                <c:pt idx="3">
                  <c:v>-4.9553400020201357</c:v>
                </c:pt>
                <c:pt idx="4">
                  <c:v>-1.7578973320173001</c:v>
                </c:pt>
                <c:pt idx="5">
                  <c:v>-0.63193070460985568</c:v>
                </c:pt>
                <c:pt idx="6">
                  <c:v>-0.22843495382863832</c:v>
                </c:pt>
                <c:pt idx="7">
                  <c:v>-8.2758900894688597E-2</c:v>
                </c:pt>
                <c:pt idx="8">
                  <c:v>-3.0007821203856609E-2</c:v>
                </c:pt>
                <c:pt idx="9">
                  <c:v>-1.0884091032861004E-2</c:v>
                </c:pt>
                <c:pt idx="10">
                  <c:v>-3.9482166395629747E-3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CE-45F0-8964-C511CA2A72D1}"/>
            </c:ext>
          </c:extLst>
        </c:ser>
        <c:ser>
          <c:idx val="3"/>
          <c:order val="3"/>
          <c:tx>
            <c:strRef>
              <c:f>'Example 1.1'!$AC$35</c:f>
              <c:strCache>
                <c:ptCount val="1"/>
                <c:pt idx="0">
                  <c:v>Δt=.1, ε_approx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'Example 1.1'!$S$14:$S$24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'Example 1.1'!$Z$14:$Z$24</c:f>
              <c:numCache>
                <c:formatCode>0.0000</c:formatCode>
                <c:ptCount val="11"/>
                <c:pt idx="1">
                  <c:v>-5.5038363503657495</c:v>
                </c:pt>
                <c:pt idx="2">
                  <c:v>-2.9915641812046125</c:v>
                </c:pt>
                <c:pt idx="3">
                  <c:v>-1.531521772095672</c:v>
                </c:pt>
                <c:pt idx="4">
                  <c:v>-0.74589739183433679</c:v>
                </c:pt>
                <c:pt idx="5">
                  <c:v>-0.3491000937303616</c:v>
                </c:pt>
                <c:pt idx="6">
                  <c:v>-0.15840160662660507</c:v>
                </c:pt>
                <c:pt idx="7">
                  <c:v>-7.0172512392665767E-2</c:v>
                </c:pt>
                <c:pt idx="8">
                  <c:v>-3.0514486265172308E-2</c:v>
                </c:pt>
                <c:pt idx="9">
                  <c:v>-1.3077343034294397E-2</c:v>
                </c:pt>
                <c:pt idx="10">
                  <c:v>-5.5399209040797887E-3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CE-45F0-8964-C511CA2A72D1}"/>
            </c:ext>
          </c:extLst>
        </c:ser>
        <c:ser>
          <c:idx val="4"/>
          <c:order val="4"/>
          <c:tx>
            <c:strRef>
              <c:f>'Example 1.1'!$AC$34</c:f>
              <c:strCache>
                <c:ptCount val="1"/>
                <c:pt idx="0">
                  <c:v>Δt=.1, ε_true (%)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'Example 1.1'!$S$14:$S$24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'Example 1.1'!$AA$14:$AA$24</c:f>
              <c:numCache>
                <c:formatCode>0.0000</c:formatCode>
                <c:ptCount val="11"/>
                <c:pt idx="1">
                  <c:v>-0.56469106295716609</c:v>
                </c:pt>
                <c:pt idx="2">
                  <c:v>-0.32097169457665092</c:v>
                </c:pt>
                <c:pt idx="3">
                  <c:v>-0.17188872919947698</c:v>
                </c:pt>
                <c:pt idx="4">
                  <c:v>-8.7571885634419408E-2</c:v>
                </c:pt>
                <c:pt idx="5">
                  <c:v>-4.2864206965978022E-2</c:v>
                </c:pt>
                <c:pt idx="6">
                  <c:v>-2.0332320335519613E-2</c:v>
                </c:pt>
                <c:pt idx="7">
                  <c:v>-9.4114292587389146E-3</c:v>
                </c:pt>
                <c:pt idx="8">
                  <c:v>-4.2737640204898271E-3</c:v>
                </c:pt>
                <c:pt idx="9">
                  <c:v>-1.9115388398055751E-3</c:v>
                </c:pt>
                <c:pt idx="10">
                  <c:v>-8.446267599164966E-4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CE-45F0-8964-C511CA2A7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574720"/>
        <c:axId val="898632016"/>
      </c:scatterChart>
      <c:valAx>
        <c:axId val="114057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32016"/>
        <c:crosses val="autoZero"/>
        <c:crossBetween val="midCat"/>
      </c:valAx>
      <c:valAx>
        <c:axId val="8986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%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7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199157</xdr:colOff>
      <xdr:row>17</xdr:row>
      <xdr:rowOff>142876</xdr:rowOff>
    </xdr:from>
    <xdr:to>
      <xdr:col>13</xdr:col>
      <xdr:colOff>23378</xdr:colOff>
      <xdr:row>38</xdr:row>
      <xdr:rowOff>136814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17174</xdr:colOff>
      <xdr:row>1</xdr:row>
      <xdr:rowOff>8660</xdr:rowOff>
    </xdr:from>
    <xdr:to>
      <xdr:col>13</xdr:col>
      <xdr:colOff>8661</xdr:colOff>
      <xdr:row>8</xdr:row>
      <xdr:rowOff>84096</xdr:rowOff>
    </xdr:to>
    <xdr:pic>
      <xdr:nvPicPr>
        <xdr:cNvPr id="3" name="Picture 2" descr="C:\Users\dscro\AppData\Roaming\PixelMetrics\CaptureWiz\Temp\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1674" y="199160"/>
          <a:ext cx="1203759" cy="1408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212076</xdr:colOff>
      <xdr:row>4</xdr:row>
      <xdr:rowOff>138544</xdr:rowOff>
    </xdr:from>
    <xdr:to>
      <xdr:col>9</xdr:col>
      <xdr:colOff>561108</xdr:colOff>
      <xdr:row>7</xdr:row>
      <xdr:rowOff>142873</xdr:rowOff>
    </xdr:to>
    <xdr:pic>
      <xdr:nvPicPr>
        <xdr:cNvPr id="4" name="Picture 3" descr="C:\Users\dscro\AppData\Roaming\PixelMetrics\CaptureWiz\Temp\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8190" y="900544"/>
          <a:ext cx="3111282" cy="575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129887</xdr:colOff>
      <xdr:row>4</xdr:row>
      <xdr:rowOff>143988</xdr:rowOff>
    </xdr:from>
    <xdr:to>
      <xdr:col>16</xdr:col>
      <xdr:colOff>450272</xdr:colOff>
      <xdr:row>7</xdr:row>
      <xdr:rowOff>37235</xdr:rowOff>
    </xdr:to>
    <xdr:pic>
      <xdr:nvPicPr>
        <xdr:cNvPr id="5" name="Picture 4" descr="C:\Users\dscro\AppData\Roaming\PixelMetrics\CaptureWiz\Temp\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660" y="905988"/>
          <a:ext cx="2138795" cy="464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242453</xdr:colOff>
      <xdr:row>7</xdr:row>
      <xdr:rowOff>167048</xdr:rowOff>
    </xdr:from>
    <xdr:to>
      <xdr:col>24</xdr:col>
      <xdr:colOff>448539</xdr:colOff>
      <xdr:row>10</xdr:row>
      <xdr:rowOff>34636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58F17C-1DC6-4A90-B977-6C82D895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36430" y="1500548"/>
          <a:ext cx="4215245" cy="439088"/>
        </a:xfrm>
        <a:prstGeom prst="rect">
          <a:avLst/>
        </a:prstGeom>
      </xdr:spPr>
    </xdr:pic>
    <xdr:clientData/>
  </xdr:twoCellAnchor>
  <xdr:twoCellAnchor editAs="oneCell">
    <xdr:from>
      <xdr:col>18</xdr:col>
      <xdr:colOff>207819</xdr:colOff>
      <xdr:row>4</xdr:row>
      <xdr:rowOff>119640</xdr:rowOff>
    </xdr:from>
    <xdr:to>
      <xdr:col>21</xdr:col>
      <xdr:colOff>60615</xdr:colOff>
      <xdr:row>6</xdr:row>
      <xdr:rowOff>154063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B83ED7-FFBB-4D8F-9228-EC3DB795A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1796" y="881640"/>
          <a:ext cx="1740478" cy="415423"/>
        </a:xfrm>
        <a:prstGeom prst="rect">
          <a:avLst/>
        </a:prstGeom>
      </xdr:spPr>
    </xdr:pic>
    <xdr:clientData/>
  </xdr:twoCellAnchor>
  <xdr:twoCellAnchor>
    <xdr:from>
      <xdr:col>17</xdr:col>
      <xdr:colOff>523874</xdr:colOff>
      <xdr:row>25</xdr:row>
      <xdr:rowOff>174046</xdr:rowOff>
    </xdr:from>
    <xdr:to>
      <xdr:col>26</xdr:col>
      <xdr:colOff>372340</xdr:colOff>
      <xdr:row>44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026426-B82E-43ED-9876-5369E4A54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3"/>
  <sheetViews>
    <sheetView tabSelected="1" topLeftCell="P2" zoomScale="110" zoomScaleNormal="110" workbookViewId="0">
      <selection activeCell="AE11" sqref="AE11"/>
    </sheetView>
  </sheetViews>
  <sheetFormatPr defaultRowHeight="14.4" x14ac:dyDescent="0.3"/>
  <cols>
    <col min="1" max="1" width="11.33203125" customWidth="1"/>
    <col min="2" max="2" width="11.6640625" customWidth="1"/>
    <col min="4" max="4" width="5" customWidth="1"/>
    <col min="9" max="9" width="5" customWidth="1"/>
    <col min="21" max="21" width="10.109375" bestFit="1" customWidth="1"/>
    <col min="23" max="23" width="12.5546875" bestFit="1" customWidth="1"/>
    <col min="24" max="24" width="10.109375" bestFit="1" customWidth="1"/>
    <col min="26" max="26" width="12.5546875" bestFit="1" customWidth="1"/>
    <col min="27" max="27" width="10.109375" bestFit="1" customWidth="1"/>
  </cols>
  <sheetData>
    <row r="1" spans="1:32" x14ac:dyDescent="0.3">
      <c r="A1" s="8" t="s">
        <v>16</v>
      </c>
    </row>
    <row r="2" spans="1:32" x14ac:dyDescent="0.3">
      <c r="A2" s="8" t="s">
        <v>15</v>
      </c>
      <c r="E2" t="s">
        <v>19</v>
      </c>
    </row>
    <row r="6" spans="1:32" x14ac:dyDescent="0.3">
      <c r="A6" t="s">
        <v>7</v>
      </c>
      <c r="C6">
        <v>68.099999999999994</v>
      </c>
      <c r="D6" t="s">
        <v>2</v>
      </c>
    </row>
    <row r="7" spans="1:32" x14ac:dyDescent="0.3">
      <c r="A7" t="s">
        <v>17</v>
      </c>
      <c r="C7">
        <v>12.5</v>
      </c>
      <c r="D7" t="s">
        <v>3</v>
      </c>
    </row>
    <row r="8" spans="1:32" x14ac:dyDescent="0.3">
      <c r="A8" t="s">
        <v>8</v>
      </c>
      <c r="C8">
        <v>9.81</v>
      </c>
      <c r="D8" t="s">
        <v>4</v>
      </c>
    </row>
    <row r="9" spans="1:32" x14ac:dyDescent="0.3">
      <c r="A9" s="6"/>
      <c r="B9" s="6"/>
      <c r="C9" s="6"/>
      <c r="D9" s="6"/>
      <c r="E9" s="6" t="s">
        <v>14</v>
      </c>
      <c r="F9" s="6"/>
      <c r="G9" s="6"/>
      <c r="H9" s="6"/>
      <c r="I9" s="6"/>
      <c r="J9" s="6"/>
      <c r="K9" s="6"/>
      <c r="L9" s="6"/>
      <c r="M9" s="6"/>
      <c r="N9" s="7" t="s">
        <v>13</v>
      </c>
      <c r="O9" s="7"/>
      <c r="P9" s="7"/>
    </row>
    <row r="10" spans="1:32" x14ac:dyDescent="0.3">
      <c r="A10" t="s">
        <v>10</v>
      </c>
      <c r="E10" t="s">
        <v>9</v>
      </c>
      <c r="J10" t="s">
        <v>11</v>
      </c>
      <c r="O10" t="s">
        <v>12</v>
      </c>
    </row>
    <row r="11" spans="1:32" x14ac:dyDescent="0.3">
      <c r="A11" t="s">
        <v>18</v>
      </c>
      <c r="B11">
        <f>COUNT(B13:B568)</f>
        <v>30</v>
      </c>
      <c r="E11" t="s">
        <v>18</v>
      </c>
      <c r="F11">
        <f>COUNT(F13:F568)</f>
        <v>51</v>
      </c>
      <c r="J11" t="s">
        <v>18</v>
      </c>
      <c r="K11">
        <f>COUNT(K13:K568)</f>
        <v>501</v>
      </c>
    </row>
    <row r="12" spans="1:32" ht="15" thickBot="1" x14ac:dyDescent="0.35">
      <c r="A12" s="3" t="s">
        <v>0</v>
      </c>
      <c r="B12" s="3" t="s">
        <v>1</v>
      </c>
      <c r="E12" s="4" t="s">
        <v>0</v>
      </c>
      <c r="F12" s="4" t="s">
        <v>1</v>
      </c>
      <c r="J12" s="2" t="s">
        <v>0</v>
      </c>
      <c r="K12" s="2" t="s">
        <v>6</v>
      </c>
      <c r="N12" s="1" t="s">
        <v>0</v>
      </c>
      <c r="O12" s="1" t="s">
        <v>1</v>
      </c>
    </row>
    <row r="13" spans="1:32" ht="16.2" thickBot="1" x14ac:dyDescent="0.35">
      <c r="A13">
        <v>0</v>
      </c>
      <c r="B13" s="5">
        <v>0</v>
      </c>
      <c r="C13" t="s">
        <v>5</v>
      </c>
      <c r="E13">
        <v>0</v>
      </c>
      <c r="F13" s="5">
        <v>0</v>
      </c>
      <c r="G13" t="s">
        <v>5</v>
      </c>
      <c r="J13">
        <v>0</v>
      </c>
      <c r="K13" s="5">
        <v>0</v>
      </c>
      <c r="L13" t="s">
        <v>5</v>
      </c>
      <c r="N13">
        <v>0</v>
      </c>
      <c r="O13" s="5">
        <v>0</v>
      </c>
      <c r="P13" t="s">
        <v>5</v>
      </c>
      <c r="S13" s="15" t="s">
        <v>20</v>
      </c>
      <c r="T13" s="18" t="s">
        <v>21</v>
      </c>
      <c r="U13" s="16" t="s">
        <v>25</v>
      </c>
      <c r="V13" s="18" t="s">
        <v>22</v>
      </c>
      <c r="W13" s="17" t="s">
        <v>26</v>
      </c>
      <c r="X13" s="16" t="s">
        <v>25</v>
      </c>
      <c r="Y13" s="18" t="s">
        <v>23</v>
      </c>
      <c r="Z13" s="17" t="s">
        <v>26</v>
      </c>
      <c r="AA13" s="16" t="s">
        <v>25</v>
      </c>
      <c r="AE13" t="s">
        <v>20</v>
      </c>
      <c r="AF13" s="9" t="s">
        <v>24</v>
      </c>
    </row>
    <row r="14" spans="1:32" x14ac:dyDescent="0.3">
      <c r="A14">
        <v>5</v>
      </c>
      <c r="B14">
        <f t="shared" ref="B14:B42" si="0">B13+($C$8-($C$7/$C$6)*B13)*(A14-A13)</f>
        <v>49.050000000000004</v>
      </c>
      <c r="E14">
        <v>1</v>
      </c>
      <c r="F14">
        <f>F13+(C$8-($C$7/$C$6)*F13)*(E14-E13)</f>
        <v>9.81</v>
      </c>
      <c r="J14">
        <v>0.1</v>
      </c>
      <c r="K14">
        <f t="shared" ref="K14:K77" si="1">K13+($C$8-($C$7/$C$6)*K13)*(J14-J13)</f>
        <v>0.98100000000000009</v>
      </c>
      <c r="N14">
        <v>1</v>
      </c>
      <c r="O14">
        <f t="shared" ref="O14:O45" si="2">(($C$8*$C$6)/$C$7)*(1-EXP(-($C$7/$C$6)*N14))</f>
        <v>8.9623181081134007</v>
      </c>
      <c r="S14" s="13">
        <v>0</v>
      </c>
      <c r="T14" s="10">
        <f>+B13</f>
        <v>0</v>
      </c>
      <c r="U14" s="11"/>
      <c r="V14" s="10">
        <f>+F13</f>
        <v>0</v>
      </c>
      <c r="X14" s="11"/>
      <c r="Y14" s="10">
        <f>+K13</f>
        <v>0</v>
      </c>
      <c r="Z14" s="21"/>
      <c r="AA14" s="11"/>
      <c r="AE14">
        <v>0</v>
      </c>
      <c r="AF14">
        <f t="shared" ref="AF14:AF24" si="3">(($C$8*$C$6)/$C$7)*(1-EXP(-($C$7/$C$6)*AE14))</f>
        <v>0</v>
      </c>
    </row>
    <row r="15" spans="1:32" x14ac:dyDescent="0.3">
      <c r="A15">
        <f>+A14+5</f>
        <v>10</v>
      </c>
      <c r="B15">
        <f t="shared" si="0"/>
        <v>53.083480176211452</v>
      </c>
      <c r="E15">
        <v>2</v>
      </c>
      <c r="F15">
        <f t="shared" ref="F15:F46" si="4">F14+($C$8-($C$7/$C$6)*F14)*(E15-E14)</f>
        <v>17.819339207048458</v>
      </c>
      <c r="J15">
        <v>0.2</v>
      </c>
      <c r="K15">
        <f t="shared" si="1"/>
        <v>1.9439933920704848</v>
      </c>
      <c r="N15">
        <v>2</v>
      </c>
      <c r="O15">
        <f t="shared" si="2"/>
        <v>16.42172057920007</v>
      </c>
      <c r="S15" s="13">
        <v>5</v>
      </c>
      <c r="T15" s="10">
        <f t="shared" ref="T15:T24" si="5">+B14</f>
        <v>49.050000000000004</v>
      </c>
      <c r="U15" s="19">
        <f t="shared" ref="U15:U24" si="6">+(AF15-T15)/AF15*100</f>
        <v>-52.810948514207553</v>
      </c>
      <c r="V15" s="10">
        <f>+F18</f>
        <v>34.056366890823639</v>
      </c>
      <c r="W15" s="21">
        <f t="shared" ref="W15:W24" si="7">+(V15-T15)/V15*100</f>
        <v>-44.025932528981365</v>
      </c>
      <c r="X15" s="19">
        <f t="shared" ref="X15:X24" si="8">+(AF15-V15)/AF15*100</f>
        <v>-6.0996070853132185</v>
      </c>
      <c r="Y15" s="10">
        <f>+K63</f>
        <v>32.279742679428715</v>
      </c>
      <c r="Z15" s="21">
        <f t="shared" ref="Z15:Z24" si="9">+(Y15-V15)/Y15*100</f>
        <v>-5.5038363503657495</v>
      </c>
      <c r="AA15" s="19">
        <f t="shared" ref="AA15:AA24" si="10">+(AF15-Y15)/AF15*100</f>
        <v>-0.56469106295716609</v>
      </c>
      <c r="AE15">
        <v>5</v>
      </c>
      <c r="AF15">
        <f t="shared" si="3"/>
        <v>32.098485401024519</v>
      </c>
    </row>
    <row r="16" spans="1:32" x14ac:dyDescent="0.3">
      <c r="A16">
        <f t="shared" ref="A16:A42" si="11">+A15+5</f>
        <v>15</v>
      </c>
      <c r="B16">
        <f t="shared" si="0"/>
        <v>53.415161365444696</v>
      </c>
      <c r="E16">
        <v>3</v>
      </c>
      <c r="F16">
        <f t="shared" si="4"/>
        <v>24.358535387839858</v>
      </c>
      <c r="J16">
        <v>0.3</v>
      </c>
      <c r="K16">
        <f t="shared" si="1"/>
        <v>2.8893106939781483</v>
      </c>
      <c r="N16">
        <v>3</v>
      </c>
      <c r="O16">
        <f t="shared" si="2"/>
        <v>22.630235447165056</v>
      </c>
      <c r="S16" s="13">
        <f>+S15+5</f>
        <v>10</v>
      </c>
      <c r="T16" s="10">
        <f t="shared" si="5"/>
        <v>53.083480176211452</v>
      </c>
      <c r="U16" s="19">
        <f t="shared" si="6"/>
        <v>-18.176199494201345</v>
      </c>
      <c r="V16" s="10">
        <f>+F23</f>
        <v>46.411195190815221</v>
      </c>
      <c r="W16" s="21">
        <f t="shared" si="7"/>
        <v>-14.376455848559308</v>
      </c>
      <c r="X16" s="19">
        <f t="shared" si="8"/>
        <v>-3.3221379500280235</v>
      </c>
      <c r="Y16" s="10">
        <f>+K113</f>
        <v>45.06310352676924</v>
      </c>
      <c r="Z16" s="21">
        <f t="shared" si="9"/>
        <v>-2.9915641812046125</v>
      </c>
      <c r="AA16" s="19">
        <f t="shared" si="10"/>
        <v>-0.32097169457665092</v>
      </c>
      <c r="AE16">
        <f>+AE15+5</f>
        <v>10</v>
      </c>
      <c r="AF16">
        <f t="shared" si="3"/>
        <v>44.918926487237513</v>
      </c>
    </row>
    <row r="17" spans="1:32" x14ac:dyDescent="0.3">
      <c r="A17">
        <f t="shared" si="11"/>
        <v>20</v>
      </c>
      <c r="B17">
        <f t="shared" si="0"/>
        <v>53.442436176894134</v>
      </c>
      <c r="E17">
        <v>4</v>
      </c>
      <c r="F17">
        <f t="shared" si="4"/>
        <v>29.697438583904496</v>
      </c>
      <c r="J17">
        <v>0.4</v>
      </c>
      <c r="K17">
        <f t="shared" si="1"/>
        <v>3.8172763567171693</v>
      </c>
      <c r="N17">
        <v>4</v>
      </c>
      <c r="O17">
        <f t="shared" si="2"/>
        <v>27.797627475567975</v>
      </c>
      <c r="S17" s="13">
        <f t="shared" ref="S17:S24" si="12">+S16+5</f>
        <v>15</v>
      </c>
      <c r="T17" s="10">
        <f t="shared" si="5"/>
        <v>53.415161365444696</v>
      </c>
      <c r="U17" s="19">
        <f t="shared" si="6"/>
        <v>-6.7459232485812262</v>
      </c>
      <c r="V17" s="10">
        <f>+F28</f>
        <v>50.893228838491289</v>
      </c>
      <c r="W17" s="21">
        <f t="shared" si="7"/>
        <v>-4.9553400020201357</v>
      </c>
      <c r="X17" s="19">
        <f t="shared" si="8"/>
        <v>-1.7060430146066174</v>
      </c>
      <c r="Y17" s="10">
        <f>+K163</f>
        <v>50.125545200366027</v>
      </c>
      <c r="Z17" s="21">
        <f t="shared" si="9"/>
        <v>-1.531521772095672</v>
      </c>
      <c r="AA17" s="19">
        <f t="shared" si="10"/>
        <v>-0.17188872919947698</v>
      </c>
      <c r="AE17">
        <f t="shared" ref="AE17:AE24" si="13">+AE16+5</f>
        <v>15</v>
      </c>
      <c r="AF17">
        <f t="shared" si="3"/>
        <v>50.039532883195747</v>
      </c>
    </row>
    <row r="18" spans="1:32" x14ac:dyDescent="0.3">
      <c r="A18">
        <f t="shared" si="11"/>
        <v>25</v>
      </c>
      <c r="B18">
        <f t="shared" si="0"/>
        <v>53.444679039509651</v>
      </c>
      <c r="E18">
        <v>5</v>
      </c>
      <c r="F18">
        <f t="shared" si="4"/>
        <v>34.056366890823639</v>
      </c>
      <c r="J18">
        <v>0.5</v>
      </c>
      <c r="K18">
        <f t="shared" si="1"/>
        <v>4.7282088758670007</v>
      </c>
      <c r="N18">
        <v>5</v>
      </c>
      <c r="O18">
        <f t="shared" si="2"/>
        <v>32.098485401024519</v>
      </c>
      <c r="S18" s="13">
        <f t="shared" si="12"/>
        <v>20</v>
      </c>
      <c r="T18" s="10">
        <f t="shared" si="5"/>
        <v>53.442436176894134</v>
      </c>
      <c r="U18" s="19">
        <f t="shared" si="6"/>
        <v>-2.606682822611071</v>
      </c>
      <c r="V18" s="10">
        <f>+F33</f>
        <v>52.519202517050147</v>
      </c>
      <c r="W18" s="21">
        <f t="shared" si="7"/>
        <v>-1.7578973320173001</v>
      </c>
      <c r="X18" s="19">
        <f t="shared" si="8"/>
        <v>-0.83412247387968352</v>
      </c>
      <c r="Y18" s="10">
        <f>+K213</f>
        <v>52.130363495384316</v>
      </c>
      <c r="Z18" s="21">
        <f t="shared" si="9"/>
        <v>-0.74589739183433679</v>
      </c>
      <c r="AA18" s="19">
        <f t="shared" si="10"/>
        <v>-8.7571885634419408E-2</v>
      </c>
      <c r="AE18">
        <f t="shared" si="13"/>
        <v>20</v>
      </c>
      <c r="AF18">
        <f t="shared" si="3"/>
        <v>52.084751896020961</v>
      </c>
    </row>
    <row r="19" spans="1:32" x14ac:dyDescent="0.3">
      <c r="A19">
        <f t="shared" si="11"/>
        <v>30</v>
      </c>
      <c r="B19">
        <f t="shared" si="0"/>
        <v>53.4448634746146</v>
      </c>
      <c r="E19">
        <v>6</v>
      </c>
      <c r="F19">
        <f t="shared" si="4"/>
        <v>37.615198225107115</v>
      </c>
      <c r="J19">
        <v>0.6</v>
      </c>
      <c r="K19">
        <f t="shared" si="1"/>
        <v>5.6224209009061523</v>
      </c>
      <c r="N19">
        <v>6</v>
      </c>
      <c r="O19">
        <f t="shared" si="2"/>
        <v>35.678120697377175</v>
      </c>
      <c r="S19" s="13">
        <f t="shared" si="12"/>
        <v>25</v>
      </c>
      <c r="T19" s="10">
        <f t="shared" si="5"/>
        <v>53.444679039509651</v>
      </c>
      <c r="U19" s="19">
        <f t="shared" si="6"/>
        <v>-1.0265225326748026</v>
      </c>
      <c r="V19" s="10">
        <f>+F38</f>
        <v>53.109066541104731</v>
      </c>
      <c r="W19" s="21">
        <f t="shared" si="7"/>
        <v>-0.63193070460985568</v>
      </c>
      <c r="X19" s="19">
        <f t="shared" si="8"/>
        <v>-0.3921139396830346</v>
      </c>
      <c r="Y19" s="10">
        <f>+K263</f>
        <v>52.924307733201978</v>
      </c>
      <c r="Z19" s="21">
        <f t="shared" si="9"/>
        <v>-0.3491000937303616</v>
      </c>
      <c r="AA19" s="19">
        <f t="shared" si="10"/>
        <v>-4.2864206965978022E-2</v>
      </c>
      <c r="AE19">
        <f t="shared" si="13"/>
        <v>25</v>
      </c>
      <c r="AF19">
        <f t="shared" si="3"/>
        <v>52.9016318682296</v>
      </c>
    </row>
    <row r="20" spans="1:32" x14ac:dyDescent="0.3">
      <c r="A20">
        <f t="shared" si="11"/>
        <v>35</v>
      </c>
      <c r="B20">
        <f t="shared" si="0"/>
        <v>53.444878641084316</v>
      </c>
      <c r="E20">
        <v>7</v>
      </c>
      <c r="F20">
        <f t="shared" si="4"/>
        <v>40.520793264551479</v>
      </c>
      <c r="J20">
        <v>0.7</v>
      </c>
      <c r="K20">
        <f t="shared" si="1"/>
        <v>6.5002193425194754</v>
      </c>
      <c r="N20">
        <v>7</v>
      </c>
      <c r="O20">
        <f t="shared" si="2"/>
        <v>38.657477159967954</v>
      </c>
      <c r="S20" s="13">
        <f t="shared" si="12"/>
        <v>30</v>
      </c>
      <c r="T20" s="10">
        <f t="shared" si="5"/>
        <v>53.4448634746146</v>
      </c>
      <c r="U20" s="19">
        <f t="shared" si="6"/>
        <v>-0.40760945184778169</v>
      </c>
      <c r="V20" s="10">
        <f>+F43</f>
        <v>53.323054978594229</v>
      </c>
      <c r="W20" s="21">
        <f t="shared" si="7"/>
        <v>-0.22843495382863832</v>
      </c>
      <c r="X20" s="19">
        <f t="shared" si="8"/>
        <v>-0.17876613368420061</v>
      </c>
      <c r="Y20" s="10">
        <f>+K313</f>
        <v>53.238723984455348</v>
      </c>
      <c r="Z20" s="21">
        <f t="shared" si="9"/>
        <v>-0.15840160662660507</v>
      </c>
      <c r="AA20" s="19">
        <f t="shared" si="10"/>
        <v>-2.0332320335519613E-2</v>
      </c>
      <c r="AE20">
        <f t="shared" si="13"/>
        <v>30</v>
      </c>
      <c r="AF20">
        <f t="shared" si="3"/>
        <v>53.227901517011034</v>
      </c>
    </row>
    <row r="21" spans="1:32" x14ac:dyDescent="0.3">
      <c r="A21">
        <f t="shared" si="11"/>
        <v>40</v>
      </c>
      <c r="B21">
        <f t="shared" si="0"/>
        <v>53.444879888253624</v>
      </c>
      <c r="E21">
        <v>8</v>
      </c>
      <c r="F21">
        <f t="shared" si="4"/>
        <v>42.893055881190342</v>
      </c>
      <c r="J21">
        <v>0.8</v>
      </c>
      <c r="K21">
        <f t="shared" si="1"/>
        <v>7.3619054779357853</v>
      </c>
      <c r="N21">
        <v>8</v>
      </c>
      <c r="O21">
        <f t="shared" si="2"/>
        <v>41.137217188295963</v>
      </c>
      <c r="S21" s="13">
        <f t="shared" si="12"/>
        <v>35</v>
      </c>
      <c r="T21" s="10">
        <f t="shared" si="5"/>
        <v>53.444878641084316</v>
      </c>
      <c r="U21" s="19">
        <f t="shared" si="6"/>
        <v>-0.162415315043449</v>
      </c>
      <c r="V21" s="10">
        <f>+F48</f>
        <v>53.400684821256007</v>
      </c>
      <c r="W21" s="21">
        <f t="shared" si="7"/>
        <v>-8.2758900894688597E-2</v>
      </c>
      <c r="X21" s="19">
        <f t="shared" si="8"/>
        <v>-7.959054588776758E-2</v>
      </c>
      <c r="Y21" s="10">
        <f>+K363</f>
        <v>53.363238496109197</v>
      </c>
      <c r="Z21" s="21">
        <f t="shared" si="9"/>
        <v>-7.0172512392665767E-2</v>
      </c>
      <c r="AA21" s="19">
        <f t="shared" si="10"/>
        <v>-9.4114292587389146E-3</v>
      </c>
      <c r="AE21">
        <f t="shared" si="13"/>
        <v>35</v>
      </c>
      <c r="AF21">
        <f t="shared" si="3"/>
        <v>53.358216725288372</v>
      </c>
    </row>
    <row r="22" spans="1:32" x14ac:dyDescent="0.3">
      <c r="A22">
        <f t="shared" si="11"/>
        <v>45</v>
      </c>
      <c r="B22">
        <f t="shared" si="0"/>
        <v>53.444879990810868</v>
      </c>
      <c r="E22">
        <v>9</v>
      </c>
      <c r="F22">
        <f t="shared" si="4"/>
        <v>44.829881159973318</v>
      </c>
      <c r="J22">
        <v>0.9</v>
      </c>
      <c r="K22">
        <f t="shared" si="1"/>
        <v>8.2077750543319716</v>
      </c>
      <c r="N22">
        <v>9</v>
      </c>
      <c r="O22">
        <f t="shared" si="2"/>
        <v>43.201122828759345</v>
      </c>
      <c r="S22" s="13">
        <f t="shared" si="12"/>
        <v>40</v>
      </c>
      <c r="T22" s="10">
        <f t="shared" si="5"/>
        <v>53.444879888253624</v>
      </c>
      <c r="U22" s="19">
        <f t="shared" si="6"/>
        <v>-6.4807815193936594E-2</v>
      </c>
      <c r="V22" s="10">
        <f>+F53</f>
        <v>53.42884705535797</v>
      </c>
      <c r="W22" s="21">
        <f t="shared" si="7"/>
        <v>-3.0007821203856609E-2</v>
      </c>
      <c r="X22" s="19">
        <f t="shared" si="8"/>
        <v>-3.4789554402797171E-2</v>
      </c>
      <c r="Y22" s="10">
        <f>+K413</f>
        <v>53.412548490584932</v>
      </c>
      <c r="Z22" s="21">
        <f t="shared" si="9"/>
        <v>-3.0514486265172308E-2</v>
      </c>
      <c r="AA22" s="19">
        <f t="shared" si="10"/>
        <v>-4.2737640204898271E-3</v>
      </c>
      <c r="AE22">
        <f t="shared" si="13"/>
        <v>40</v>
      </c>
      <c r="AF22">
        <f t="shared" si="3"/>
        <v>53.41026586185928</v>
      </c>
    </row>
    <row r="23" spans="1:32" x14ac:dyDescent="0.3">
      <c r="A23">
        <f t="shared" si="11"/>
        <v>50</v>
      </c>
      <c r="B23">
        <f t="shared" si="0"/>
        <v>53.444879999244364</v>
      </c>
      <c r="E23">
        <v>10</v>
      </c>
      <c r="F23">
        <f t="shared" si="4"/>
        <v>46.411195190815221</v>
      </c>
      <c r="J23">
        <v>1</v>
      </c>
      <c r="K23">
        <f t="shared" si="1"/>
        <v>9.0381183903390934</v>
      </c>
      <c r="N23">
        <v>10</v>
      </c>
      <c r="O23">
        <f t="shared" si="2"/>
        <v>44.918926487237513</v>
      </c>
      <c r="S23" s="13">
        <f t="shared" si="12"/>
        <v>45</v>
      </c>
      <c r="T23" s="10">
        <f t="shared" si="5"/>
        <v>53.444879990810868</v>
      </c>
      <c r="U23" s="19">
        <f t="shared" si="6"/>
        <v>-2.587485431620816E-2</v>
      </c>
      <c r="V23" s="10">
        <f>+F58</f>
        <v>53.439063634477783</v>
      </c>
      <c r="W23" s="21">
        <f t="shared" si="7"/>
        <v>-1.0884091032861004E-2</v>
      </c>
      <c r="X23" s="19">
        <f t="shared" si="8"/>
        <v>-1.4989131852591287E-2</v>
      </c>
      <c r="Y23" s="10">
        <f>+K463</f>
        <v>53.432076138590794</v>
      </c>
      <c r="Z23" s="21">
        <f t="shared" si="9"/>
        <v>-1.3077343034294397E-2</v>
      </c>
      <c r="AA23" s="19">
        <f t="shared" si="10"/>
        <v>-1.9115388398055751E-3</v>
      </c>
      <c r="AE23">
        <f t="shared" si="13"/>
        <v>45</v>
      </c>
      <c r="AF23">
        <f t="shared" si="3"/>
        <v>53.431054783226095</v>
      </c>
    </row>
    <row r="24" spans="1:32" ht="15" thickBot="1" x14ac:dyDescent="0.35">
      <c r="A24">
        <f t="shared" si="11"/>
        <v>55</v>
      </c>
      <c r="B24">
        <f t="shared" si="0"/>
        <v>53.444879999937861</v>
      </c>
      <c r="E24">
        <v>11</v>
      </c>
      <c r="F24">
        <f t="shared" si="4"/>
        <v>47.702253342280855</v>
      </c>
      <c r="J24">
        <v>1.1000000000000001</v>
      </c>
      <c r="K24">
        <f t="shared" si="1"/>
        <v>9.8532204756852924</v>
      </c>
      <c r="N24">
        <v>11</v>
      </c>
      <c r="O24">
        <f t="shared" si="2"/>
        <v>46.34866695173784</v>
      </c>
      <c r="S24" s="14">
        <f t="shared" si="12"/>
        <v>50</v>
      </c>
      <c r="T24" s="12">
        <f t="shared" si="5"/>
        <v>53.444879999244364</v>
      </c>
      <c r="U24" s="20">
        <f t="shared" si="6"/>
        <v>-1.033306317283436E-2</v>
      </c>
      <c r="V24" s="12">
        <f>+F63</f>
        <v>53.442769962908045</v>
      </c>
      <c r="W24" s="22">
        <f t="shared" si="7"/>
        <v>-3.9482166395629747E-3</v>
      </c>
      <c r="X24" s="20">
        <f t="shared" si="8"/>
        <v>-6.3845944556507198E-3</v>
      </c>
      <c r="Y24" s="12">
        <f>+K513</f>
        <v>53.439809439733793</v>
      </c>
      <c r="Z24" s="22">
        <f t="shared" si="9"/>
        <v>-5.5399209040797887E-3</v>
      </c>
      <c r="AA24" s="20">
        <f t="shared" si="10"/>
        <v>-8.446267599164966E-4</v>
      </c>
      <c r="AE24">
        <f t="shared" si="13"/>
        <v>50</v>
      </c>
      <c r="AF24">
        <f t="shared" si="3"/>
        <v>53.43935807661515</v>
      </c>
    </row>
    <row r="25" spans="1:32" x14ac:dyDescent="0.3">
      <c r="A25">
        <f t="shared" si="11"/>
        <v>60</v>
      </c>
      <c r="B25">
        <f t="shared" si="0"/>
        <v>53.444879999994889</v>
      </c>
      <c r="E25">
        <v>12</v>
      </c>
      <c r="F25">
        <f t="shared" si="4"/>
        <v>48.756333125268952</v>
      </c>
      <c r="J25">
        <v>1.2</v>
      </c>
      <c r="K25">
        <f t="shared" si="1"/>
        <v>10.653361069009717</v>
      </c>
      <c r="N25">
        <v>12</v>
      </c>
      <c r="O25">
        <f t="shared" si="2"/>
        <v>47.538650327160717</v>
      </c>
    </row>
    <row r="26" spans="1:32" x14ac:dyDescent="0.3">
      <c r="A26">
        <f t="shared" si="11"/>
        <v>65</v>
      </c>
      <c r="B26">
        <f t="shared" si="0"/>
        <v>53.444879999999579</v>
      </c>
      <c r="E26">
        <v>13</v>
      </c>
      <c r="F26">
        <f t="shared" si="4"/>
        <v>49.616932771878908</v>
      </c>
      <c r="J26">
        <v>1.3</v>
      </c>
      <c r="K26">
        <f t="shared" si="1"/>
        <v>11.438814793881052</v>
      </c>
      <c r="N26">
        <v>13</v>
      </c>
      <c r="O26">
        <f t="shared" si="2"/>
        <v>48.529082135550297</v>
      </c>
    </row>
    <row r="27" spans="1:32" x14ac:dyDescent="0.3">
      <c r="A27">
        <f t="shared" si="11"/>
        <v>70</v>
      </c>
      <c r="B27">
        <f t="shared" si="0"/>
        <v>53.444879999999969</v>
      </c>
      <c r="E27">
        <v>14</v>
      </c>
      <c r="F27">
        <f t="shared" si="4"/>
        <v>50.319566257216849</v>
      </c>
      <c r="J27">
        <v>1.4</v>
      </c>
      <c r="K27">
        <f t="shared" si="1"/>
        <v>12.209851233053572</v>
      </c>
      <c r="N27">
        <v>14</v>
      </c>
      <c r="O27">
        <f t="shared" si="2"/>
        <v>49.35342572499016</v>
      </c>
    </row>
    <row r="28" spans="1:32" x14ac:dyDescent="0.3">
      <c r="A28">
        <f t="shared" si="11"/>
        <v>75</v>
      </c>
      <c r="B28">
        <f t="shared" si="0"/>
        <v>53.444879999999998</v>
      </c>
      <c r="E28">
        <v>15</v>
      </c>
      <c r="F28">
        <f t="shared" si="4"/>
        <v>50.893228838491289</v>
      </c>
      <c r="J28">
        <v>1.5</v>
      </c>
      <c r="K28">
        <f t="shared" si="1"/>
        <v>12.966735020993118</v>
      </c>
      <c r="N28">
        <v>15</v>
      </c>
      <c r="O28">
        <f t="shared" si="2"/>
        <v>50.039532883195747</v>
      </c>
    </row>
    <row r="29" spans="1:32" x14ac:dyDescent="0.3">
      <c r="A29">
        <f t="shared" si="11"/>
        <v>80</v>
      </c>
      <c r="B29">
        <f t="shared" si="0"/>
        <v>53.444879999999998</v>
      </c>
      <c r="E29">
        <v>16</v>
      </c>
      <c r="F29">
        <f t="shared" si="4"/>
        <v>51.361593589135325</v>
      </c>
      <c r="J29">
        <v>1.6</v>
      </c>
      <c r="K29">
        <f t="shared" si="1"/>
        <v>13.709725934704698</v>
      </c>
      <c r="N29">
        <v>16</v>
      </c>
      <c r="O29">
        <f t="shared" si="2"/>
        <v>50.610584855421081</v>
      </c>
    </row>
    <row r="30" spans="1:32" x14ac:dyDescent="0.3">
      <c r="A30">
        <f t="shared" si="11"/>
        <v>85</v>
      </c>
      <c r="B30">
        <f t="shared" si="0"/>
        <v>53.444879999999998</v>
      </c>
      <c r="E30">
        <v>17</v>
      </c>
      <c r="F30">
        <f t="shared" si="4"/>
        <v>51.743988304785958</v>
      </c>
      <c r="J30">
        <v>1.7</v>
      </c>
      <c r="K30">
        <f t="shared" si="1"/>
        <v>14.439078982892937</v>
      </c>
      <c r="N30">
        <v>17</v>
      </c>
      <c r="O30">
        <f t="shared" si="2"/>
        <v>51.085875560498863</v>
      </c>
    </row>
    <row r="31" spans="1:32" x14ac:dyDescent="0.3">
      <c r="A31">
        <f t="shared" si="11"/>
        <v>90</v>
      </c>
      <c r="B31">
        <f t="shared" si="0"/>
        <v>53.444879999999998</v>
      </c>
      <c r="E31">
        <v>18</v>
      </c>
      <c r="F31">
        <f t="shared" si="4"/>
        <v>52.056193094656379</v>
      </c>
      <c r="J31">
        <v>1.8</v>
      </c>
      <c r="K31">
        <f t="shared" si="1"/>
        <v>15.155044493485946</v>
      </c>
      <c r="N31">
        <v>18</v>
      </c>
      <c r="O31">
        <f t="shared" si="2"/>
        <v>51.481463467240552</v>
      </c>
      <c r="AC31" t="s">
        <v>27</v>
      </c>
    </row>
    <row r="32" spans="1:32" x14ac:dyDescent="0.3">
      <c r="A32">
        <f t="shared" si="11"/>
        <v>95</v>
      </c>
      <c r="B32">
        <f t="shared" si="0"/>
        <v>53.444879999999998</v>
      </c>
      <c r="E32">
        <v>19</v>
      </c>
      <c r="F32">
        <f t="shared" si="4"/>
        <v>52.311091572142359</v>
      </c>
      <c r="J32">
        <v>1.9</v>
      </c>
      <c r="K32">
        <f t="shared" si="1"/>
        <v>15.85786819955265</v>
      </c>
      <c r="N32">
        <v>19</v>
      </c>
      <c r="O32">
        <f t="shared" si="2"/>
        <v>51.810714155899952</v>
      </c>
      <c r="AC32" t="s">
        <v>28</v>
      </c>
    </row>
    <row r="33" spans="1:29" x14ac:dyDescent="0.3">
      <c r="A33">
        <f t="shared" si="11"/>
        <v>100</v>
      </c>
      <c r="B33">
        <f t="shared" si="0"/>
        <v>53.444879999999998</v>
      </c>
      <c r="E33">
        <v>20</v>
      </c>
      <c r="F33">
        <f t="shared" si="4"/>
        <v>52.519202517050147</v>
      </c>
      <c r="J33">
        <v>2</v>
      </c>
      <c r="K33">
        <f t="shared" si="1"/>
        <v>16.547791323643093</v>
      </c>
      <c r="N33">
        <v>20</v>
      </c>
      <c r="O33">
        <f t="shared" si="2"/>
        <v>52.084751896020961</v>
      </c>
      <c r="AC33" t="s">
        <v>29</v>
      </c>
    </row>
    <row r="34" spans="1:29" x14ac:dyDescent="0.3">
      <c r="A34">
        <f t="shared" si="11"/>
        <v>105</v>
      </c>
      <c r="B34">
        <f t="shared" si="0"/>
        <v>53.444879999999998</v>
      </c>
      <c r="E34">
        <v>21</v>
      </c>
      <c r="F34">
        <f t="shared" si="4"/>
        <v>52.689113949309665</v>
      </c>
      <c r="J34">
        <v>2.1</v>
      </c>
      <c r="K34">
        <f t="shared" si="1"/>
        <v>17.225050660580628</v>
      </c>
      <c r="N34">
        <v>21</v>
      </c>
      <c r="O34">
        <f t="shared" si="2"/>
        <v>52.312835497960855</v>
      </c>
      <c r="AC34" t="s">
        <v>30</v>
      </c>
    </row>
    <row r="35" spans="1:29" x14ac:dyDescent="0.3">
      <c r="A35">
        <f t="shared" si="11"/>
        <v>110</v>
      </c>
      <c r="B35">
        <f t="shared" si="0"/>
        <v>53.444879999999998</v>
      </c>
      <c r="E35">
        <v>22</v>
      </c>
      <c r="F35">
        <f t="shared" si="4"/>
        <v>52.827837526895998</v>
      </c>
      <c r="J35">
        <v>2.2000000000000002</v>
      </c>
      <c r="K35">
        <f t="shared" si="1"/>
        <v>17.889878658734435</v>
      </c>
      <c r="N35">
        <v>22</v>
      </c>
      <c r="O35">
        <f t="shared" si="2"/>
        <v>52.502671136843666</v>
      </c>
      <c r="AC35" t="s">
        <v>31</v>
      </c>
    </row>
    <row r="36" spans="1:29" x14ac:dyDescent="0.3">
      <c r="A36">
        <f t="shared" si="11"/>
        <v>115</v>
      </c>
      <c r="B36">
        <f t="shared" si="0"/>
        <v>53.444879999999998</v>
      </c>
      <c r="E36">
        <v>23</v>
      </c>
      <c r="F36">
        <f t="shared" si="4"/>
        <v>52.94109789273741</v>
      </c>
      <c r="J36">
        <v>2.2999999999999998</v>
      </c>
      <c r="K36">
        <f t="shared" si="1"/>
        <v>18.542503499800247</v>
      </c>
      <c r="N36">
        <v>23</v>
      </c>
      <c r="O36">
        <f t="shared" si="2"/>
        <v>52.660672718209199</v>
      </c>
    </row>
    <row r="37" spans="1:29" x14ac:dyDescent="0.3">
      <c r="A37">
        <f t="shared" si="11"/>
        <v>120</v>
      </c>
      <c r="B37">
        <f t="shared" si="0"/>
        <v>53.444879999999998</v>
      </c>
      <c r="E37">
        <v>24</v>
      </c>
      <c r="F37">
        <f t="shared" si="4"/>
        <v>53.033568910957413</v>
      </c>
      <c r="J37">
        <v>2.4</v>
      </c>
      <c r="K37">
        <f t="shared" si="1"/>
        <v>19.18314917711669</v>
      </c>
      <c r="N37">
        <v>24</v>
      </c>
      <c r="O37">
        <f t="shared" si="2"/>
        <v>52.792178582234115</v>
      </c>
    </row>
    <row r="38" spans="1:29" x14ac:dyDescent="0.3">
      <c r="A38">
        <f t="shared" si="11"/>
        <v>125</v>
      </c>
      <c r="B38">
        <f t="shared" si="0"/>
        <v>53.444879999999998</v>
      </c>
      <c r="E38">
        <v>25</v>
      </c>
      <c r="F38">
        <f t="shared" si="4"/>
        <v>53.109066541104731</v>
      </c>
      <c r="J38">
        <v>2.5</v>
      </c>
      <c r="K38">
        <f t="shared" si="1"/>
        <v>19.812035572544065</v>
      </c>
      <c r="N38">
        <v>25</v>
      </c>
      <c r="O38">
        <f t="shared" si="2"/>
        <v>52.9016318682296</v>
      </c>
    </row>
    <row r="39" spans="1:29" x14ac:dyDescent="0.3">
      <c r="A39">
        <f t="shared" si="11"/>
        <v>130</v>
      </c>
      <c r="B39">
        <f t="shared" si="0"/>
        <v>53.444879999999998</v>
      </c>
      <c r="E39">
        <v>26</v>
      </c>
      <c r="F39">
        <f t="shared" si="4"/>
        <v>53.170706309624421</v>
      </c>
      <c r="J39">
        <v>2.6</v>
      </c>
      <c r="K39">
        <f t="shared" si="1"/>
        <v>20.429378531932024</v>
      </c>
      <c r="N39">
        <v>26</v>
      </c>
      <c r="O39">
        <f t="shared" si="2"/>
        <v>52.992730633322992</v>
      </c>
    </row>
    <row r="40" spans="1:29" x14ac:dyDescent="0.3">
      <c r="A40">
        <f t="shared" si="11"/>
        <v>135</v>
      </c>
      <c r="B40">
        <f t="shared" si="0"/>
        <v>53.444879999999998</v>
      </c>
      <c r="E40">
        <v>27</v>
      </c>
      <c r="F40">
        <f t="shared" si="4"/>
        <v>53.22103187687398</v>
      </c>
      <c r="J40">
        <v>2.7</v>
      </c>
      <c r="K40">
        <f t="shared" si="1"/>
        <v>21.035389939201995</v>
      </c>
      <c r="N40">
        <v>27</v>
      </c>
      <c r="O40">
        <f t="shared" si="2"/>
        <v>53.068552797327122</v>
      </c>
    </row>
    <row r="41" spans="1:29" x14ac:dyDescent="0.3">
      <c r="A41">
        <f t="shared" si="11"/>
        <v>140</v>
      </c>
      <c r="B41">
        <f t="shared" si="0"/>
        <v>53.444879999999998</v>
      </c>
      <c r="E41">
        <v>28</v>
      </c>
      <c r="F41">
        <f t="shared" si="4"/>
        <v>53.262120005201076</v>
      </c>
      <c r="J41">
        <v>2.8</v>
      </c>
      <c r="K41">
        <f t="shared" si="1"/>
        <v>21.630277789069797</v>
      </c>
      <c r="N41">
        <v>28</v>
      </c>
      <c r="O41">
        <f t="shared" si="2"/>
        <v>53.131660135262784</v>
      </c>
    </row>
    <row r="42" spans="1:29" x14ac:dyDescent="0.3">
      <c r="A42">
        <f t="shared" si="11"/>
        <v>145</v>
      </c>
      <c r="B42">
        <f t="shared" si="0"/>
        <v>53.444879999999998</v>
      </c>
      <c r="E42">
        <v>29</v>
      </c>
      <c r="F42">
        <f t="shared" si="4"/>
        <v>53.295666259753006</v>
      </c>
      <c r="J42">
        <v>2.9</v>
      </c>
      <c r="K42">
        <f t="shared" si="1"/>
        <v>22.21424625843342</v>
      </c>
      <c r="N42">
        <v>29</v>
      </c>
      <c r="O42">
        <f t="shared" si="2"/>
        <v>53.184184831090619</v>
      </c>
    </row>
    <row r="43" spans="1:29" x14ac:dyDescent="0.3">
      <c r="E43">
        <v>30</v>
      </c>
      <c r="F43">
        <f t="shared" si="4"/>
        <v>53.323054978594229</v>
      </c>
      <c r="J43">
        <v>3</v>
      </c>
      <c r="K43">
        <f t="shared" si="1"/>
        <v>22.787495776450427</v>
      </c>
      <c r="N43">
        <v>30</v>
      </c>
      <c r="O43">
        <f t="shared" si="2"/>
        <v>53.227901517011034</v>
      </c>
    </row>
    <row r="44" spans="1:29" x14ac:dyDescent="0.3">
      <c r="E44">
        <v>31</v>
      </c>
      <c r="F44">
        <f t="shared" si="4"/>
        <v>53.345416399557109</v>
      </c>
      <c r="J44">
        <v>3.1</v>
      </c>
      <c r="K44">
        <f t="shared" si="1"/>
        <v>23.350223093329092</v>
      </c>
      <c r="N44">
        <v>31</v>
      </c>
      <c r="O44">
        <f t="shared" si="2"/>
        <v>53.264287232296816</v>
      </c>
    </row>
    <row r="45" spans="1:29" x14ac:dyDescent="0.3">
      <c r="E45">
        <v>32</v>
      </c>
      <c r="F45">
        <f t="shared" si="4"/>
        <v>53.363673301253677</v>
      </c>
      <c r="J45">
        <v>3.2</v>
      </c>
      <c r="K45">
        <f t="shared" si="1"/>
        <v>23.902621347856826</v>
      </c>
      <c r="N45">
        <v>32</v>
      </c>
      <c r="O45">
        <f t="shared" si="2"/>
        <v>53.294571327465157</v>
      </c>
    </row>
    <row r="46" spans="1:29" x14ac:dyDescent="0.3">
      <c r="E46">
        <v>33</v>
      </c>
      <c r="F46">
        <f t="shared" si="4"/>
        <v>53.378579082961885</v>
      </c>
      <c r="J46">
        <v>3.3</v>
      </c>
      <c r="K46">
        <f t="shared" si="1"/>
        <v>24.444880133689114</v>
      </c>
      <c r="N46">
        <v>33</v>
      </c>
      <c r="O46">
        <f t="shared" ref="O46:O63" si="14">(($C$8*$C$6)/$C$7)*(1-EXP(-($C$7/$C$6)*N46))</f>
        <v>53.319776999882521</v>
      </c>
    </row>
    <row r="47" spans="1:29" x14ac:dyDescent="0.3">
      <c r="E47">
        <v>34</v>
      </c>
      <c r="F47">
        <f t="shared" ref="F47:F63" si="15">F46+($C$8-($C$7/$C$6)*F46)*(E47-E46)</f>
        <v>53.390748854811761</v>
      </c>
      <c r="J47">
        <v>3.4</v>
      </c>
      <c r="K47">
        <f t="shared" si="1"/>
        <v>24.977185564421692</v>
      </c>
      <c r="N47">
        <v>34</v>
      </c>
      <c r="O47">
        <f t="shared" si="14"/>
        <v>53.340755864150381</v>
      </c>
    </row>
    <row r="48" spans="1:29" x14ac:dyDescent="0.3">
      <c r="E48">
        <v>35</v>
      </c>
      <c r="F48">
        <f t="shared" si="15"/>
        <v>53.400684821256007</v>
      </c>
      <c r="J48">
        <v>3.5</v>
      </c>
      <c r="K48">
        <f t="shared" si="1"/>
        <v>25.499720337468283</v>
      </c>
      <c r="N48">
        <v>35</v>
      </c>
      <c r="O48">
        <f t="shared" si="14"/>
        <v>53.358216725288372</v>
      </c>
    </row>
    <row r="49" spans="5:15" x14ac:dyDescent="0.3">
      <c r="E49">
        <v>36</v>
      </c>
      <c r="F49">
        <f t="shared" si="15"/>
        <v>53.408797005313275</v>
      </c>
      <c r="J49">
        <v>3.6</v>
      </c>
      <c r="K49">
        <f t="shared" si="1"/>
        <v>26.012663796765857</v>
      </c>
      <c r="N49">
        <v>36</v>
      </c>
      <c r="O49">
        <f t="shared" si="14"/>
        <v>53.372749526863686</v>
      </c>
    </row>
    <row r="50" spans="5:15" x14ac:dyDescent="0.3">
      <c r="E50">
        <v>37</v>
      </c>
      <c r="F50">
        <f t="shared" si="15"/>
        <v>53.415420168802029</v>
      </c>
      <c r="J50">
        <v>3.7</v>
      </c>
      <c r="K50">
        <f t="shared" si="1"/>
        <v>26.516191994328892</v>
      </c>
      <c r="N50">
        <v>37</v>
      </c>
      <c r="O50">
        <f t="shared" si="14"/>
        <v>53.38484528319313</v>
      </c>
    </row>
    <row r="51" spans="5:15" x14ac:dyDescent="0.3">
      <c r="E51">
        <v>38</v>
      </c>
      <c r="F51">
        <f t="shared" si="15"/>
        <v>53.420827626804595</v>
      </c>
      <c r="J51">
        <v>3.8</v>
      </c>
      <c r="K51">
        <f t="shared" si="1"/>
        <v>27.010477750673807</v>
      </c>
      <c r="N51">
        <v>38</v>
      </c>
      <c r="O51">
        <f t="shared" si="14"/>
        <v>53.394912669059721</v>
      </c>
    </row>
    <row r="52" spans="5:15" x14ac:dyDescent="0.3">
      <c r="E52">
        <v>39</v>
      </c>
      <c r="F52">
        <f t="shared" si="15"/>
        <v>53.425242526436648</v>
      </c>
      <c r="J52">
        <v>3.9</v>
      </c>
      <c r="K52">
        <f t="shared" si="1"/>
        <v>27.495690714134273</v>
      </c>
      <c r="N52">
        <v>39</v>
      </c>
      <c r="O52">
        <f t="shared" si="14"/>
        <v>53.403291827454311</v>
      </c>
    </row>
    <row r="53" spans="5:15" x14ac:dyDescent="0.3">
      <c r="E53">
        <v>40</v>
      </c>
      <c r="F53">
        <f t="shared" si="15"/>
        <v>53.42884705535797</v>
      </c>
      <c r="J53">
        <v>4</v>
      </c>
      <c r="K53">
        <f t="shared" si="1"/>
        <v>27.971997419087756</v>
      </c>
      <c r="N53">
        <v>40</v>
      </c>
      <c r="O53">
        <f t="shared" si="14"/>
        <v>53.41026586185928</v>
      </c>
    </row>
    <row r="54" spans="5:15" x14ac:dyDescent="0.3">
      <c r="E54">
        <v>41</v>
      </c>
      <c r="F54">
        <f t="shared" si="15"/>
        <v>53.431789960027942</v>
      </c>
      <c r="J54">
        <v>4.0999999999999996</v>
      </c>
      <c r="K54">
        <f t="shared" si="1"/>
        <v>28.439561343113311</v>
      </c>
      <c r="N54">
        <v>41</v>
      </c>
      <c r="O54">
        <f t="shared" si="14"/>
        <v>53.416070401359704</v>
      </c>
    </row>
    <row r="55" spans="5:15" x14ac:dyDescent="0.3">
      <c r="E55">
        <v>42</v>
      </c>
      <c r="F55">
        <f t="shared" si="15"/>
        <v>53.434192683958202</v>
      </c>
      <c r="J55">
        <v>4.2</v>
      </c>
      <c r="K55">
        <f t="shared" si="1"/>
        <v>28.898542963100219</v>
      </c>
      <c r="N55">
        <v>42</v>
      </c>
      <c r="O55">
        <f t="shared" si="14"/>
        <v>53.420901561754889</v>
      </c>
    </row>
    <row r="56" spans="5:15" x14ac:dyDescent="0.3">
      <c r="E56">
        <v>43</v>
      </c>
      <c r="F56">
        <f t="shared" si="15"/>
        <v>53.436154379266902</v>
      </c>
      <c r="J56">
        <v>4.3</v>
      </c>
      <c r="K56">
        <f t="shared" si="1"/>
        <v>29.34909981032672</v>
      </c>
      <c r="N56">
        <v>43</v>
      </c>
      <c r="O56">
        <f t="shared" si="14"/>
        <v>53.424922571649347</v>
      </c>
    </row>
    <row r="57" spans="5:15" x14ac:dyDescent="0.3">
      <c r="E57">
        <v>44</v>
      </c>
      <c r="F57">
        <f t="shared" si="15"/>
        <v>53.437755998344194</v>
      </c>
      <c r="J57">
        <v>4.4000000000000004</v>
      </c>
      <c r="K57">
        <f t="shared" si="1"/>
        <v>29.791386524527773</v>
      </c>
      <c r="N57">
        <v>44</v>
      </c>
      <c r="O57">
        <f t="shared" si="14"/>
        <v>53.428269287396454</v>
      </c>
    </row>
    <row r="58" spans="5:15" x14ac:dyDescent="0.3">
      <c r="E58">
        <v>45</v>
      </c>
      <c r="F58">
        <f t="shared" si="15"/>
        <v>53.439063634477783</v>
      </c>
      <c r="J58">
        <v>4.5</v>
      </c>
      <c r="K58">
        <f t="shared" si="1"/>
        <v>30.225554906970359</v>
      </c>
      <c r="N58">
        <v>45</v>
      </c>
      <c r="O58">
        <f t="shared" si="14"/>
        <v>53.431054783226095</v>
      </c>
    </row>
    <row r="59" spans="5:15" x14ac:dyDescent="0.3">
      <c r="E59">
        <v>46</v>
      </c>
      <c r="F59">
        <f t="shared" si="15"/>
        <v>53.440131249294637</v>
      </c>
      <c r="J59">
        <v>4.5999999999999996</v>
      </c>
      <c r="K59">
        <f t="shared" si="1"/>
        <v>30.651753972554602</v>
      </c>
      <c r="N59">
        <v>46</v>
      </c>
      <c r="O59">
        <f t="shared" si="14"/>
        <v>53.43337317164125</v>
      </c>
    </row>
    <row r="60" spans="5:15" x14ac:dyDescent="0.3">
      <c r="E60">
        <v>47</v>
      </c>
      <c r="F60">
        <f t="shared" si="15"/>
        <v>53.441002899570954</v>
      </c>
      <c r="J60">
        <v>4.7</v>
      </c>
      <c r="K60">
        <f t="shared" si="1"/>
        <v>31.070130000958521</v>
      </c>
      <c r="N60">
        <v>47</v>
      </c>
      <c r="O60">
        <f t="shared" si="14"/>
        <v>53.435302783161873</v>
      </c>
    </row>
    <row r="61" spans="5:15" x14ac:dyDescent="0.3">
      <c r="E61">
        <v>48</v>
      </c>
      <c r="F61">
        <f t="shared" si="15"/>
        <v>53.441714555303157</v>
      </c>
      <c r="J61">
        <v>4.8</v>
      </c>
      <c r="K61">
        <f t="shared" si="1"/>
        <v>31.48082658684401</v>
      </c>
      <c r="N61">
        <v>48</v>
      </c>
      <c r="O61">
        <f t="shared" si="14"/>
        <v>53.436908812848785</v>
      </c>
    </row>
    <row r="62" spans="5:15" x14ac:dyDescent="0.3">
      <c r="E62">
        <v>49</v>
      </c>
      <c r="F62">
        <f t="shared" si="15"/>
        <v>53.442295584065427</v>
      </c>
      <c r="J62">
        <v>4.9000000000000004</v>
      </c>
      <c r="K62">
        <f t="shared" si="1"/>
        <v>31.883984689141297</v>
      </c>
      <c r="N62">
        <v>49</v>
      </c>
      <c r="O62">
        <f t="shared" si="14"/>
        <v>53.438245523024733</v>
      </c>
    </row>
    <row r="63" spans="5:15" x14ac:dyDescent="0.3">
      <c r="E63">
        <v>50</v>
      </c>
      <c r="F63">
        <f t="shared" si="15"/>
        <v>53.442769962908045</v>
      </c>
      <c r="J63">
        <v>5</v>
      </c>
      <c r="K63">
        <f t="shared" si="1"/>
        <v>32.279742679428715</v>
      </c>
      <c r="N63">
        <v>50</v>
      </c>
      <c r="O63">
        <f t="shared" si="14"/>
        <v>53.43935807661515</v>
      </c>
    </row>
    <row r="64" spans="5:15" x14ac:dyDescent="0.3">
      <c r="J64">
        <v>5.0999999999999996</v>
      </c>
      <c r="K64">
        <f t="shared" si="1"/>
        <v>32.668236389424514</v>
      </c>
    </row>
    <row r="65" spans="10:11" x14ac:dyDescent="0.3">
      <c r="J65">
        <v>5.2</v>
      </c>
      <c r="K65">
        <f t="shared" si="1"/>
        <v>33.049599157606885</v>
      </c>
    </row>
    <row r="66" spans="10:11" x14ac:dyDescent="0.3">
      <c r="J66">
        <v>5.3</v>
      </c>
      <c r="K66">
        <f t="shared" si="1"/>
        <v>33.423961874978268</v>
      </c>
    </row>
    <row r="67" spans="10:11" x14ac:dyDescent="0.3">
      <c r="J67">
        <v>5.4</v>
      </c>
      <c r="K67">
        <f t="shared" si="1"/>
        <v>33.791453029989682</v>
      </c>
    </row>
    <row r="68" spans="10:11" x14ac:dyDescent="0.3">
      <c r="J68">
        <v>5.5</v>
      </c>
      <c r="K68">
        <f t="shared" si="1"/>
        <v>34.152198752640388</v>
      </c>
    </row>
    <row r="69" spans="10:11" x14ac:dyDescent="0.3">
      <c r="J69">
        <v>5.6</v>
      </c>
      <c r="K69">
        <f t="shared" si="1"/>
        <v>34.506322857768133</v>
      </c>
    </row>
    <row r="70" spans="10:11" x14ac:dyDescent="0.3">
      <c r="J70">
        <v>5.7</v>
      </c>
      <c r="K70">
        <f t="shared" si="1"/>
        <v>34.853946887544787</v>
      </c>
    </row>
    <row r="71" spans="10:11" x14ac:dyDescent="0.3">
      <c r="J71">
        <v>5.8</v>
      </c>
      <c r="K71">
        <f t="shared" si="1"/>
        <v>35.195190153191909</v>
      </c>
    </row>
    <row r="72" spans="10:11" x14ac:dyDescent="0.3">
      <c r="J72">
        <v>5.8999999999999897</v>
      </c>
      <c r="K72">
        <f t="shared" si="1"/>
        <v>35.530169775930645</v>
      </c>
    </row>
    <row r="73" spans="10:11" x14ac:dyDescent="0.3">
      <c r="J73">
        <v>5.9999999999999902</v>
      </c>
      <c r="K73">
        <f t="shared" si="1"/>
        <v>35.859000727180081</v>
      </c>
    </row>
    <row r="74" spans="10:11" x14ac:dyDescent="0.3">
      <c r="J74">
        <v>6.0999999999999899</v>
      </c>
      <c r="K74">
        <f t="shared" si="1"/>
        <v>36.181795868017453</v>
      </c>
    </row>
    <row r="75" spans="10:11" x14ac:dyDescent="0.3">
      <c r="J75">
        <v>6.1999999999999904</v>
      </c>
      <c r="K75">
        <f t="shared" si="1"/>
        <v>36.498665987914343</v>
      </c>
    </row>
    <row r="76" spans="10:11" x14ac:dyDescent="0.3">
      <c r="J76">
        <v>6.2999999999999901</v>
      </c>
      <c r="K76">
        <f t="shared" si="1"/>
        <v>36.80971984276173</v>
      </c>
    </row>
    <row r="77" spans="10:11" x14ac:dyDescent="0.3">
      <c r="J77">
        <v>6.3999999999999897</v>
      </c>
      <c r="K77">
        <f t="shared" si="1"/>
        <v>37.115064192197089</v>
      </c>
    </row>
    <row r="78" spans="10:11" x14ac:dyDescent="0.3">
      <c r="J78">
        <v>6.4999999999999902</v>
      </c>
      <c r="K78">
        <f t="shared" ref="K78:K141" si="16">K77+($C$8-($C$7/$C$6)*K77)*(J78-J77)</f>
        <v>37.414803836246335</v>
      </c>
    </row>
    <row r="79" spans="10:11" x14ac:dyDescent="0.3">
      <c r="J79">
        <v>6.5999999999999899</v>
      </c>
      <c r="K79">
        <f t="shared" si="16"/>
        <v>37.709041651293205</v>
      </c>
    </row>
    <row r="80" spans="10:11" x14ac:dyDescent="0.3">
      <c r="J80">
        <v>6.6999999999999904</v>
      </c>
      <c r="K80">
        <f t="shared" si="16"/>
        <v>37.99787862538841</v>
      </c>
    </row>
    <row r="81" spans="10:11" x14ac:dyDescent="0.3">
      <c r="J81">
        <v>6.7999999999999901</v>
      </c>
      <c r="K81">
        <f t="shared" si="16"/>
        <v>38.281413892910649</v>
      </c>
    </row>
    <row r="82" spans="10:11" x14ac:dyDescent="0.3">
      <c r="J82">
        <v>6.8999999999999897</v>
      </c>
      <c r="K82">
        <f t="shared" si="16"/>
        <v>38.559744768591436</v>
      </c>
    </row>
    <row r="83" spans="10:11" x14ac:dyDescent="0.3">
      <c r="J83">
        <v>6.9999999999999902</v>
      </c>
      <c r="K83">
        <f t="shared" si="16"/>
        <v>38.832966780915385</v>
      </c>
    </row>
    <row r="84" spans="10:11" x14ac:dyDescent="0.3">
      <c r="J84">
        <v>7.0999999999999899</v>
      </c>
      <c r="K84">
        <f t="shared" si="16"/>
        <v>39.101173704907389</v>
      </c>
    </row>
    <row r="85" spans="10:11" x14ac:dyDescent="0.3">
      <c r="J85">
        <v>7.1999999999999904</v>
      </c>
      <c r="K85">
        <f t="shared" si="16"/>
        <v>39.364457594318047</v>
      </c>
    </row>
    <row r="86" spans="10:11" x14ac:dyDescent="0.3">
      <c r="J86">
        <v>7.2999999999999901</v>
      </c>
      <c r="K86">
        <f t="shared" si="16"/>
        <v>39.622908813218231</v>
      </c>
    </row>
    <row r="87" spans="10:11" x14ac:dyDescent="0.3">
      <c r="J87">
        <v>7.3999999999999897</v>
      </c>
      <c r="K87">
        <f t="shared" si="16"/>
        <v>39.876616067013785</v>
      </c>
    </row>
    <row r="88" spans="10:11" x14ac:dyDescent="0.3">
      <c r="J88">
        <v>7.4999999999999902</v>
      </c>
      <c r="K88">
        <f t="shared" si="16"/>
        <v>40.125666432890917</v>
      </c>
    </row>
    <row r="89" spans="10:11" x14ac:dyDescent="0.3">
      <c r="J89">
        <v>7.5999999999999899</v>
      </c>
      <c r="K89">
        <f t="shared" si="16"/>
        <v>40.370145389702756</v>
      </c>
    </row>
    <row r="90" spans="10:11" x14ac:dyDescent="0.3">
      <c r="J90">
        <v>7.6999999999999904</v>
      </c>
      <c r="K90">
        <f t="shared" si="16"/>
        <v>40.610136847307331</v>
      </c>
    </row>
    <row r="91" spans="10:11" x14ac:dyDescent="0.3">
      <c r="J91">
        <v>7.7999999999999901</v>
      </c>
      <c r="K91">
        <f t="shared" si="16"/>
        <v>40.845723175367034</v>
      </c>
    </row>
    <row r="92" spans="10:11" x14ac:dyDescent="0.3">
      <c r="J92">
        <v>7.8999999999999897</v>
      </c>
      <c r="K92">
        <f t="shared" si="16"/>
        <v>41.076985231619474</v>
      </c>
    </row>
    <row r="93" spans="10:11" x14ac:dyDescent="0.3">
      <c r="J93">
        <v>7.9999999999999902</v>
      </c>
      <c r="K93">
        <f t="shared" si="16"/>
        <v>41.304002389629396</v>
      </c>
    </row>
    <row r="94" spans="10:11" x14ac:dyDescent="0.3">
      <c r="J94">
        <v>8.0999999999999908</v>
      </c>
      <c r="K94">
        <f t="shared" si="16"/>
        <v>41.526852566031209</v>
      </c>
    </row>
    <row r="95" spans="10:11" x14ac:dyDescent="0.3">
      <c r="J95">
        <v>8.1999999999999904</v>
      </c>
      <c r="K95">
        <f t="shared" si="16"/>
        <v>41.74561224727146</v>
      </c>
    </row>
    <row r="96" spans="10:11" x14ac:dyDescent="0.3">
      <c r="J96">
        <v>8.2999999999999901</v>
      </c>
      <c r="K96">
        <f t="shared" si="16"/>
        <v>41.960356515860454</v>
      </c>
    </row>
    <row r="97" spans="10:11" x14ac:dyDescent="0.3">
      <c r="J97">
        <v>8.3999999999999897</v>
      </c>
      <c r="K97">
        <f t="shared" si="16"/>
        <v>42.171159076142018</v>
      </c>
    </row>
    <row r="98" spans="10:11" x14ac:dyDescent="0.3">
      <c r="J98">
        <v>8.4999999999999893</v>
      </c>
      <c r="K98">
        <f t="shared" si="16"/>
        <v>42.37809227959022</v>
      </c>
    </row>
    <row r="99" spans="10:11" x14ac:dyDescent="0.3">
      <c r="J99">
        <v>8.5999999999999908</v>
      </c>
      <c r="K99">
        <f t="shared" si="16"/>
        <v>42.581227149641798</v>
      </c>
    </row>
    <row r="100" spans="10:11" x14ac:dyDescent="0.3">
      <c r="J100">
        <v>8.6999999999999797</v>
      </c>
      <c r="K100">
        <f t="shared" si="16"/>
        <v>42.780633406072724</v>
      </c>
    </row>
    <row r="101" spans="10:11" x14ac:dyDescent="0.3">
      <c r="J101">
        <v>8.7999999999999794</v>
      </c>
      <c r="K101">
        <f t="shared" si="16"/>
        <v>42.976379488927485</v>
      </c>
    </row>
    <row r="102" spans="10:11" x14ac:dyDescent="0.3">
      <c r="J102">
        <v>8.8999999999999808</v>
      </c>
      <c r="K102">
        <f t="shared" si="16"/>
        <v>43.168532582008851</v>
      </c>
    </row>
    <row r="103" spans="10:11" x14ac:dyDescent="0.3">
      <c r="J103">
        <v>8.9999999999999805</v>
      </c>
      <c r="K103">
        <f t="shared" si="16"/>
        <v>43.357158635936734</v>
      </c>
    </row>
    <row r="104" spans="10:11" x14ac:dyDescent="0.3">
      <c r="J104">
        <v>9.0999999999999801</v>
      </c>
      <c r="K104">
        <f t="shared" si="16"/>
        <v>43.54232239078371</v>
      </c>
    </row>
    <row r="105" spans="10:11" x14ac:dyDescent="0.3">
      <c r="J105">
        <v>9.1999999999999797</v>
      </c>
      <c r="K105">
        <f t="shared" si="16"/>
        <v>43.724087398295019</v>
      </c>
    </row>
    <row r="106" spans="10:11" x14ac:dyDescent="0.3">
      <c r="J106">
        <v>9.2999999999999794</v>
      </c>
      <c r="K106">
        <f t="shared" si="16"/>
        <v>43.902516043700764</v>
      </c>
    </row>
    <row r="107" spans="10:11" x14ac:dyDescent="0.3">
      <c r="J107">
        <v>9.3999999999999808</v>
      </c>
      <c r="K107">
        <f t="shared" si="16"/>
        <v>44.0776695671277</v>
      </c>
    </row>
    <row r="108" spans="10:11" x14ac:dyDescent="0.3">
      <c r="J108">
        <v>9.4999999999999805</v>
      </c>
      <c r="K108">
        <f t="shared" si="16"/>
        <v>44.249608084618011</v>
      </c>
    </row>
    <row r="109" spans="10:11" x14ac:dyDescent="0.3">
      <c r="J109">
        <v>9.5999999999999801</v>
      </c>
      <c r="K109">
        <f t="shared" si="16"/>
        <v>44.418390608762323</v>
      </c>
    </row>
    <row r="110" spans="10:11" x14ac:dyDescent="0.3">
      <c r="J110">
        <v>9.6999999999999797</v>
      </c>
      <c r="K110">
        <f t="shared" si="16"/>
        <v>44.584075068953908</v>
      </c>
    </row>
    <row r="111" spans="10:11" x14ac:dyDescent="0.3">
      <c r="J111">
        <v>9.7999999999999794</v>
      </c>
      <c r="K111">
        <f t="shared" si="16"/>
        <v>44.746718331271197</v>
      </c>
    </row>
    <row r="112" spans="10:11" x14ac:dyDescent="0.3">
      <c r="J112">
        <v>9.8999999999999808</v>
      </c>
      <c r="K112">
        <f t="shared" si="16"/>
        <v>44.906376217995295</v>
      </c>
    </row>
    <row r="113" spans="10:11" x14ac:dyDescent="0.3">
      <c r="J113">
        <v>9.9999999999999805</v>
      </c>
      <c r="K113">
        <f t="shared" si="16"/>
        <v>45.06310352676924</v>
      </c>
    </row>
    <row r="114" spans="10:11" x14ac:dyDescent="0.3">
      <c r="J114">
        <v>10.1</v>
      </c>
      <c r="K114">
        <f t="shared" si="16"/>
        <v>45.216954049405665</v>
      </c>
    </row>
    <row r="115" spans="10:11" x14ac:dyDescent="0.3">
      <c r="J115">
        <v>10.199999999999999</v>
      </c>
      <c r="K115">
        <f t="shared" si="16"/>
        <v>45.367980590349028</v>
      </c>
    </row>
    <row r="116" spans="10:11" x14ac:dyDescent="0.3">
      <c r="J116">
        <v>10.3</v>
      </c>
      <c r="K116">
        <f t="shared" si="16"/>
        <v>45.516234984799304</v>
      </c>
    </row>
    <row r="117" spans="10:11" x14ac:dyDescent="0.3">
      <c r="J117">
        <v>10.4</v>
      </c>
      <c r="K117">
        <f t="shared" si="16"/>
        <v>45.661768116502692</v>
      </c>
    </row>
    <row r="118" spans="10:11" x14ac:dyDescent="0.3">
      <c r="J118">
        <v>10.5</v>
      </c>
      <c r="K118">
        <f t="shared" si="16"/>
        <v>45.804629935215935</v>
      </c>
    </row>
    <row r="119" spans="10:11" x14ac:dyDescent="0.3">
      <c r="J119">
        <v>10.6</v>
      </c>
      <c r="K119">
        <f t="shared" si="16"/>
        <v>45.944869473850005</v>
      </c>
    </row>
    <row r="120" spans="10:11" x14ac:dyDescent="0.3">
      <c r="J120">
        <v>10.7</v>
      </c>
      <c r="K120">
        <f t="shared" si="16"/>
        <v>46.082534865299159</v>
      </c>
    </row>
    <row r="121" spans="10:11" x14ac:dyDescent="0.3">
      <c r="J121">
        <v>10.8</v>
      </c>
      <c r="K121">
        <f t="shared" si="16"/>
        <v>46.217673358961072</v>
      </c>
    </row>
    <row r="122" spans="10:11" x14ac:dyDescent="0.3">
      <c r="J122">
        <v>10.9</v>
      </c>
      <c r="K122">
        <f t="shared" si="16"/>
        <v>46.350331336953708</v>
      </c>
    </row>
    <row r="123" spans="10:11" x14ac:dyDescent="0.3">
      <c r="J123">
        <v>11</v>
      </c>
      <c r="K123">
        <f t="shared" si="16"/>
        <v>46.480554330034586</v>
      </c>
    </row>
    <row r="124" spans="10:11" x14ac:dyDescent="0.3">
      <c r="J124">
        <v>11.1</v>
      </c>
      <c r="K124">
        <f t="shared" si="16"/>
        <v>46.608387033227785</v>
      </c>
    </row>
    <row r="125" spans="10:11" x14ac:dyDescent="0.3">
      <c r="J125">
        <v>11.2</v>
      </c>
      <c r="K125">
        <f t="shared" si="16"/>
        <v>46.733873321164133</v>
      </c>
    </row>
    <row r="126" spans="10:11" x14ac:dyDescent="0.3">
      <c r="J126">
        <v>11.3</v>
      </c>
      <c r="K126">
        <f t="shared" si="16"/>
        <v>46.857056263139832</v>
      </c>
    </row>
    <row r="127" spans="10:11" x14ac:dyDescent="0.3">
      <c r="J127">
        <v>11.4</v>
      </c>
      <c r="K127">
        <f t="shared" si="16"/>
        <v>46.977978137898646</v>
      </c>
    </row>
    <row r="128" spans="10:11" x14ac:dyDescent="0.3">
      <c r="J128">
        <v>11.5</v>
      </c>
      <c r="K128">
        <f t="shared" si="16"/>
        <v>47.096680448142799</v>
      </c>
    </row>
    <row r="129" spans="10:11" x14ac:dyDescent="0.3">
      <c r="J129">
        <v>11.6</v>
      </c>
      <c r="K129">
        <f t="shared" si="16"/>
        <v>47.213203934777475</v>
      </c>
    </row>
    <row r="130" spans="10:11" x14ac:dyDescent="0.3">
      <c r="J130">
        <v>11.7</v>
      </c>
      <c r="K130">
        <f t="shared" si="16"/>
        <v>47.327588590893896</v>
      </c>
    </row>
    <row r="131" spans="10:11" x14ac:dyDescent="0.3">
      <c r="J131">
        <v>11.8</v>
      </c>
      <c r="K131">
        <f t="shared" si="16"/>
        <v>47.439873675495697</v>
      </c>
    </row>
    <row r="132" spans="10:11" x14ac:dyDescent="0.3">
      <c r="J132">
        <v>11.9</v>
      </c>
      <c r="K132">
        <f t="shared" si="16"/>
        <v>47.550097726973384</v>
      </c>
    </row>
    <row r="133" spans="10:11" x14ac:dyDescent="0.3">
      <c r="J133">
        <v>12</v>
      </c>
      <c r="K133">
        <f t="shared" si="16"/>
        <v>47.658298576331433</v>
      </c>
    </row>
    <row r="134" spans="10:11" x14ac:dyDescent="0.3">
      <c r="J134">
        <v>12.1</v>
      </c>
      <c r="K134">
        <f t="shared" si="16"/>
        <v>47.764513360172629</v>
      </c>
    </row>
    <row r="135" spans="10:11" x14ac:dyDescent="0.3">
      <c r="J135">
        <v>12.2</v>
      </c>
      <c r="K135">
        <f t="shared" si="16"/>
        <v>47.868778533444058</v>
      </c>
    </row>
    <row r="136" spans="10:11" x14ac:dyDescent="0.3">
      <c r="J136">
        <v>12.3</v>
      </c>
      <c r="K136">
        <f t="shared" si="16"/>
        <v>47.971129881949125</v>
      </c>
    </row>
    <row r="137" spans="10:11" x14ac:dyDescent="0.3">
      <c r="J137">
        <v>12.4</v>
      </c>
      <c r="K137">
        <f t="shared" si="16"/>
        <v>48.071602534629939</v>
      </c>
    </row>
    <row r="138" spans="10:11" x14ac:dyDescent="0.3">
      <c r="J138">
        <v>12.5</v>
      </c>
      <c r="K138">
        <f t="shared" si="16"/>
        <v>48.17023097562425</v>
      </c>
    </row>
    <row r="139" spans="10:11" x14ac:dyDescent="0.3">
      <c r="J139">
        <v>12.6</v>
      </c>
      <c r="K139">
        <f t="shared" si="16"/>
        <v>48.267049056101044</v>
      </c>
    </row>
    <row r="140" spans="10:11" x14ac:dyDescent="0.3">
      <c r="J140">
        <v>12.7</v>
      </c>
      <c r="K140">
        <f t="shared" si="16"/>
        <v>48.362090005878926</v>
      </c>
    </row>
    <row r="141" spans="10:11" x14ac:dyDescent="0.3">
      <c r="J141">
        <v>12.8</v>
      </c>
      <c r="K141">
        <f t="shared" si="16"/>
        <v>48.45538644483122</v>
      </c>
    </row>
    <row r="142" spans="10:11" x14ac:dyDescent="0.3">
      <c r="J142">
        <v>12.9</v>
      </c>
      <c r="K142">
        <f t="shared" ref="K142:K205" si="17">K141+($C$8-($C$7/$C$6)*K141)*(J142-J141)</f>
        <v>48.546970394081747</v>
      </c>
    </row>
    <row r="143" spans="10:11" x14ac:dyDescent="0.3">
      <c r="J143">
        <v>13</v>
      </c>
      <c r="K143">
        <f t="shared" si="17"/>
        <v>48.636873286995076</v>
      </c>
    </row>
    <row r="144" spans="10:11" x14ac:dyDescent="0.3">
      <c r="J144">
        <v>13.1</v>
      </c>
      <c r="K144">
        <f t="shared" si="17"/>
        <v>48.725125979965064</v>
      </c>
    </row>
    <row r="145" spans="10:11" x14ac:dyDescent="0.3">
      <c r="J145">
        <v>13.2</v>
      </c>
      <c r="K145">
        <f t="shared" si="17"/>
        <v>48.811758763005351</v>
      </c>
    </row>
    <row r="146" spans="10:11" x14ac:dyDescent="0.3">
      <c r="J146">
        <v>13.3</v>
      </c>
      <c r="K146">
        <f t="shared" si="17"/>
        <v>48.896801370145489</v>
      </c>
    </row>
    <row r="147" spans="10:11" x14ac:dyDescent="0.3">
      <c r="J147">
        <v>13.4</v>
      </c>
      <c r="K147">
        <f t="shared" si="17"/>
        <v>48.980282989636208</v>
      </c>
    </row>
    <row r="148" spans="10:11" x14ac:dyDescent="0.3">
      <c r="J148">
        <v>13.5</v>
      </c>
      <c r="K148">
        <f t="shared" si="17"/>
        <v>49.06223227396741</v>
      </c>
    </row>
    <row r="149" spans="10:11" x14ac:dyDescent="0.3">
      <c r="J149">
        <v>13.6</v>
      </c>
      <c r="K149">
        <f t="shared" si="17"/>
        <v>49.142677349702225</v>
      </c>
    </row>
    <row r="150" spans="10:11" x14ac:dyDescent="0.3">
      <c r="J150">
        <v>13.7</v>
      </c>
      <c r="K150">
        <f t="shared" si="17"/>
        <v>49.221645827130601</v>
      </c>
    </row>
    <row r="151" spans="10:11" x14ac:dyDescent="0.3">
      <c r="J151">
        <v>13.8</v>
      </c>
      <c r="K151">
        <f t="shared" si="17"/>
        <v>49.299164809745676</v>
      </c>
    </row>
    <row r="152" spans="10:11" x14ac:dyDescent="0.3">
      <c r="J152">
        <v>13.9</v>
      </c>
      <c r="K152">
        <f t="shared" si="17"/>
        <v>49.375260903546234</v>
      </c>
    </row>
    <row r="153" spans="10:11" x14ac:dyDescent="0.3">
      <c r="J153">
        <v>14</v>
      </c>
      <c r="K153">
        <f t="shared" si="17"/>
        <v>49.449960226168365</v>
      </c>
    </row>
    <row r="154" spans="10:11" x14ac:dyDescent="0.3">
      <c r="J154">
        <v>14.1</v>
      </c>
      <c r="K154">
        <f t="shared" si="17"/>
        <v>49.523288415849564</v>
      </c>
    </row>
    <row r="155" spans="10:11" x14ac:dyDescent="0.3">
      <c r="J155">
        <v>14.2</v>
      </c>
      <c r="K155">
        <f t="shared" si="17"/>
        <v>49.595270640228243</v>
      </c>
    </row>
    <row r="156" spans="10:11" x14ac:dyDescent="0.3">
      <c r="J156">
        <v>14.3</v>
      </c>
      <c r="K156">
        <f t="shared" si="17"/>
        <v>49.665931604981765</v>
      </c>
    </row>
    <row r="157" spans="10:11" x14ac:dyDescent="0.3">
      <c r="J157">
        <v>14.4</v>
      </c>
      <c r="K157">
        <f t="shared" si="17"/>
        <v>49.735295562305886</v>
      </c>
    </row>
    <row r="158" spans="10:11" x14ac:dyDescent="0.3">
      <c r="J158">
        <v>14.5</v>
      </c>
      <c r="K158">
        <f t="shared" si="17"/>
        <v>49.803386319238598</v>
      </c>
    </row>
    <row r="159" spans="10:11" x14ac:dyDescent="0.3">
      <c r="J159">
        <v>14.6</v>
      </c>
      <c r="K159">
        <f t="shared" si="17"/>
        <v>49.870227245831131</v>
      </c>
    </row>
    <row r="160" spans="10:11" x14ac:dyDescent="0.3">
      <c r="J160">
        <v>14.7</v>
      </c>
      <c r="K160">
        <f t="shared" si="17"/>
        <v>49.935841283169033</v>
      </c>
    </row>
    <row r="161" spans="10:11" x14ac:dyDescent="0.3">
      <c r="J161">
        <v>14.8</v>
      </c>
      <c r="K161">
        <f t="shared" si="17"/>
        <v>50.00025095124596</v>
      </c>
    </row>
    <row r="162" spans="10:11" x14ac:dyDescent="0.3">
      <c r="J162">
        <v>14.9</v>
      </c>
      <c r="K162">
        <f t="shared" si="17"/>
        <v>50.06347835669299</v>
      </c>
    </row>
    <row r="163" spans="10:11" x14ac:dyDescent="0.3">
      <c r="J163">
        <v>15</v>
      </c>
      <c r="K163">
        <f t="shared" si="17"/>
        <v>50.125545200366027</v>
      </c>
    </row>
    <row r="164" spans="10:11" x14ac:dyDescent="0.3">
      <c r="J164">
        <v>15.1</v>
      </c>
      <c r="K164">
        <f t="shared" si="17"/>
        <v>50.186472784793963</v>
      </c>
    </row>
    <row r="165" spans="10:11" x14ac:dyDescent="0.3">
      <c r="J165">
        <v>15.2</v>
      </c>
      <c r="K165">
        <f t="shared" si="17"/>
        <v>50.24628202149011</v>
      </c>
    </row>
    <row r="166" spans="10:11" x14ac:dyDescent="0.3">
      <c r="J166">
        <v>15.3</v>
      </c>
      <c r="K166">
        <f t="shared" si="17"/>
        <v>50.304993438129429</v>
      </c>
    </row>
    <row r="167" spans="10:11" x14ac:dyDescent="0.3">
      <c r="J167">
        <v>15.4</v>
      </c>
      <c r="K167">
        <f t="shared" si="17"/>
        <v>50.362627185594015</v>
      </c>
    </row>
    <row r="168" spans="10:11" x14ac:dyDescent="0.3">
      <c r="J168">
        <v>15.5</v>
      </c>
      <c r="K168">
        <f t="shared" si="17"/>
        <v>50.419203044889279</v>
      </c>
    </row>
    <row r="169" spans="10:11" x14ac:dyDescent="0.3">
      <c r="J169">
        <v>15.6</v>
      </c>
      <c r="K169">
        <f t="shared" si="17"/>
        <v>50.474740433933164</v>
      </c>
    </row>
    <row r="170" spans="10:11" x14ac:dyDescent="0.3">
      <c r="J170">
        <v>15.7</v>
      </c>
      <c r="K170">
        <f t="shared" si="17"/>
        <v>50.529258414220735</v>
      </c>
    </row>
    <row r="171" spans="10:11" x14ac:dyDescent="0.3">
      <c r="J171">
        <v>15.8</v>
      </c>
      <c r="K171">
        <f t="shared" si="17"/>
        <v>50.582775697366465</v>
      </c>
    </row>
    <row r="172" spans="10:11" x14ac:dyDescent="0.3">
      <c r="J172">
        <v>15.9</v>
      </c>
      <c r="K172">
        <f t="shared" si="17"/>
        <v>50.635310651526403</v>
      </c>
    </row>
    <row r="173" spans="10:11" x14ac:dyDescent="0.3">
      <c r="J173">
        <v>16</v>
      </c>
      <c r="K173">
        <f t="shared" si="17"/>
        <v>50.6868813077025</v>
      </c>
    </row>
    <row r="174" spans="10:11" x14ac:dyDescent="0.3">
      <c r="J174">
        <v>16.100000000000001</v>
      </c>
      <c r="K174">
        <f t="shared" si="17"/>
        <v>50.737505365931163</v>
      </c>
    </row>
    <row r="175" spans="10:11" x14ac:dyDescent="0.3">
      <c r="J175">
        <v>16.2</v>
      </c>
      <c r="K175">
        <f t="shared" si="17"/>
        <v>50.787200201358267</v>
      </c>
    </row>
    <row r="176" spans="10:11" x14ac:dyDescent="0.3">
      <c r="J176">
        <v>16.3</v>
      </c>
      <c r="K176">
        <f t="shared" si="17"/>
        <v>50.835982870202649</v>
      </c>
    </row>
    <row r="177" spans="10:11" x14ac:dyDescent="0.3">
      <c r="J177">
        <v>16.399999999999999</v>
      </c>
      <c r="K177">
        <f t="shared" si="17"/>
        <v>50.883870115610087</v>
      </c>
    </row>
    <row r="178" spans="10:11" x14ac:dyDescent="0.3">
      <c r="J178">
        <v>16.5</v>
      </c>
      <c r="K178">
        <f t="shared" si="17"/>
        <v>50.930878373399914</v>
      </c>
    </row>
    <row r="179" spans="10:11" x14ac:dyDescent="0.3">
      <c r="J179">
        <v>16.600000000000001</v>
      </c>
      <c r="K179">
        <f t="shared" si="17"/>
        <v>50.97702377770608</v>
      </c>
    </row>
    <row r="180" spans="10:11" x14ac:dyDescent="0.3">
      <c r="J180">
        <v>16.7</v>
      </c>
      <c r="K180">
        <f t="shared" si="17"/>
        <v>51.022322166514705</v>
      </c>
    </row>
    <row r="181" spans="10:11" x14ac:dyDescent="0.3">
      <c r="J181">
        <v>16.8</v>
      </c>
      <c r="K181">
        <f t="shared" si="17"/>
        <v>51.06678908709997</v>
      </c>
    </row>
    <row r="182" spans="10:11" x14ac:dyDescent="0.3">
      <c r="J182">
        <v>16.899999999999999</v>
      </c>
      <c r="K182">
        <f t="shared" si="17"/>
        <v>51.110439801360251</v>
      </c>
    </row>
    <row r="183" spans="10:11" x14ac:dyDescent="0.3">
      <c r="J183">
        <v>17</v>
      </c>
      <c r="K183">
        <f t="shared" si="17"/>
        <v>51.153289291056282</v>
      </c>
    </row>
    <row r="184" spans="10:11" x14ac:dyDescent="0.3">
      <c r="J184">
        <v>17.100000000000001</v>
      </c>
      <c r="K184">
        <f t="shared" si="17"/>
        <v>51.195352262953193</v>
      </c>
    </row>
    <row r="185" spans="10:11" x14ac:dyDescent="0.3">
      <c r="J185">
        <v>17.2</v>
      </c>
      <c r="K185">
        <f t="shared" si="17"/>
        <v>51.236643153868151</v>
      </c>
    </row>
    <row r="186" spans="10:11" x14ac:dyDescent="0.3">
      <c r="J186">
        <v>17.3</v>
      </c>
      <c r="K186">
        <f t="shared" si="17"/>
        <v>51.277176135625346</v>
      </c>
    </row>
    <row r="187" spans="10:11" x14ac:dyDescent="0.3">
      <c r="J187">
        <v>17.399999999999999</v>
      </c>
      <c r="K187">
        <f t="shared" si="17"/>
        <v>51.316965119920035</v>
      </c>
    </row>
    <row r="188" spans="10:11" x14ac:dyDescent="0.3">
      <c r="J188">
        <v>17.5</v>
      </c>
      <c r="K188">
        <f t="shared" si="17"/>
        <v>51.356023763093312</v>
      </c>
    </row>
    <row r="189" spans="10:11" x14ac:dyDescent="0.3">
      <c r="J189">
        <v>17.600000000000001</v>
      </c>
      <c r="K189">
        <f t="shared" si="17"/>
        <v>51.394365470819203</v>
      </c>
    </row>
    <row r="190" spans="10:11" x14ac:dyDescent="0.3">
      <c r="J190">
        <v>17.7</v>
      </c>
      <c r="K190">
        <f t="shared" si="17"/>
        <v>51.432003402705782</v>
      </c>
    </row>
    <row r="191" spans="10:11" x14ac:dyDescent="0.3">
      <c r="J191">
        <v>17.8</v>
      </c>
      <c r="K191">
        <f t="shared" si="17"/>
        <v>51.46895047681177</v>
      </c>
    </row>
    <row r="192" spans="10:11" x14ac:dyDescent="0.3">
      <c r="J192">
        <v>17.899999999999999</v>
      </c>
      <c r="K192">
        <f t="shared" si="17"/>
        <v>51.505219374080276</v>
      </c>
    </row>
    <row r="193" spans="10:11" x14ac:dyDescent="0.3">
      <c r="J193">
        <v>18</v>
      </c>
      <c r="K193">
        <f t="shared" si="17"/>
        <v>51.540822542691139</v>
      </c>
    </row>
    <row r="194" spans="10:11" x14ac:dyDescent="0.3">
      <c r="J194">
        <v>18.100000000000001</v>
      </c>
      <c r="K194">
        <f t="shared" si="17"/>
        <v>51.575772202333376</v>
      </c>
    </row>
    <row r="195" spans="10:11" x14ac:dyDescent="0.3">
      <c r="J195">
        <v>18.2</v>
      </c>
      <c r="K195">
        <f t="shared" si="17"/>
        <v>51.610080348399208</v>
      </c>
    </row>
    <row r="196" spans="10:11" x14ac:dyDescent="0.3">
      <c r="J196">
        <v>18.3</v>
      </c>
      <c r="K196">
        <f t="shared" si="17"/>
        <v>51.643758756101136</v>
      </c>
    </row>
    <row r="197" spans="10:11" x14ac:dyDescent="0.3">
      <c r="J197">
        <v>18.399999999999999</v>
      </c>
      <c r="K197">
        <f t="shared" si="17"/>
        <v>51.676818984513375</v>
      </c>
    </row>
    <row r="198" spans="10:11" x14ac:dyDescent="0.3">
      <c r="J198">
        <v>18.499999999999901</v>
      </c>
      <c r="K198">
        <f t="shared" si="17"/>
        <v>51.709272380539161</v>
      </c>
    </row>
    <row r="199" spans="10:11" x14ac:dyDescent="0.3">
      <c r="J199">
        <v>18.599999999999898</v>
      </c>
      <c r="K199">
        <f t="shared" si="17"/>
        <v>51.741130082805327</v>
      </c>
    </row>
    <row r="200" spans="10:11" x14ac:dyDescent="0.3">
      <c r="J200">
        <v>18.6999999999999</v>
      </c>
      <c r="K200">
        <f t="shared" si="17"/>
        <v>51.772403025485112</v>
      </c>
    </row>
    <row r="201" spans="10:11" x14ac:dyDescent="0.3">
      <c r="J201">
        <v>18.799999999999901</v>
      </c>
      <c r="K201">
        <f t="shared" si="17"/>
        <v>51.8031019420511</v>
      </c>
    </row>
    <row r="202" spans="10:11" x14ac:dyDescent="0.3">
      <c r="J202">
        <v>18.899999999999899</v>
      </c>
      <c r="K202">
        <f t="shared" si="17"/>
        <v>51.833237368959118</v>
      </c>
    </row>
    <row r="203" spans="10:11" x14ac:dyDescent="0.3">
      <c r="J203">
        <v>18.999999999999901</v>
      </c>
      <c r="K203">
        <f t="shared" si="17"/>
        <v>51.862819649264566</v>
      </c>
    </row>
    <row r="204" spans="10:11" x14ac:dyDescent="0.3">
      <c r="J204">
        <v>19.099999999999898</v>
      </c>
      <c r="K204">
        <f t="shared" si="17"/>
        <v>51.891858936172341</v>
      </c>
    </row>
    <row r="205" spans="10:11" x14ac:dyDescent="0.3">
      <c r="J205">
        <v>19.1999999999999</v>
      </c>
      <c r="K205">
        <f t="shared" si="17"/>
        <v>51.920365196521601</v>
      </c>
    </row>
    <row r="206" spans="10:11" x14ac:dyDescent="0.3">
      <c r="J206">
        <v>19.299999999999901</v>
      </c>
      <c r="K206">
        <f t="shared" ref="K206:K269" si="18">K205+($C$8-($C$7/$C$6)*K205)*(J206-J205)</f>
        <v>51.948348214206597</v>
      </c>
    </row>
    <row r="207" spans="10:11" x14ac:dyDescent="0.3">
      <c r="J207">
        <v>19.399999999999899</v>
      </c>
      <c r="K207">
        <f t="shared" si="18"/>
        <v>51.975817593534671</v>
      </c>
    </row>
    <row r="208" spans="10:11" x14ac:dyDescent="0.3">
      <c r="J208">
        <v>19.499999999999901</v>
      </c>
      <c r="K208">
        <f t="shared" si="18"/>
        <v>52.002782762522656</v>
      </c>
    </row>
    <row r="209" spans="10:11" x14ac:dyDescent="0.3">
      <c r="J209">
        <v>19.599999999999898</v>
      </c>
      <c r="K209">
        <f t="shared" si="18"/>
        <v>52.029252976132739</v>
      </c>
    </row>
    <row r="210" spans="10:11" x14ac:dyDescent="0.3">
      <c r="J210">
        <v>19.6999999999999</v>
      </c>
      <c r="K210">
        <f t="shared" si="18"/>
        <v>52.055237319448949</v>
      </c>
    </row>
    <row r="211" spans="10:11" x14ac:dyDescent="0.3">
      <c r="J211">
        <v>19.799999999999901</v>
      </c>
      <c r="K211">
        <f t="shared" si="18"/>
        <v>52.080744710795337</v>
      </c>
    </row>
    <row r="212" spans="10:11" x14ac:dyDescent="0.3">
      <c r="J212">
        <v>19.899999999999899</v>
      </c>
      <c r="K212">
        <f t="shared" si="18"/>
        <v>52.105783904796887</v>
      </c>
    </row>
    <row r="213" spans="10:11" x14ac:dyDescent="0.3">
      <c r="J213">
        <v>19.999999999999901</v>
      </c>
      <c r="K213">
        <f t="shared" si="18"/>
        <v>52.130363495384316</v>
      </c>
    </row>
    <row r="214" spans="10:11" x14ac:dyDescent="0.3">
      <c r="J214">
        <v>20.099999999999898</v>
      </c>
      <c r="K214">
        <f t="shared" si="18"/>
        <v>52.154491918743631</v>
      </c>
    </row>
    <row r="215" spans="10:11" x14ac:dyDescent="0.3">
      <c r="J215">
        <v>20.1999999999999</v>
      </c>
      <c r="K215">
        <f t="shared" si="18"/>
        <v>52.178177456211628</v>
      </c>
    </row>
    <row r="216" spans="10:11" x14ac:dyDescent="0.3">
      <c r="J216">
        <v>20.299999999999901</v>
      </c>
      <c r="K216">
        <f t="shared" si="18"/>
        <v>52.201428237118172</v>
      </c>
    </row>
    <row r="217" spans="10:11" x14ac:dyDescent="0.3">
      <c r="J217">
        <v>20.399999999999899</v>
      </c>
      <c r="K217">
        <f t="shared" si="18"/>
        <v>52.224252241576352</v>
      </c>
    </row>
    <row r="218" spans="10:11" x14ac:dyDescent="0.3">
      <c r="J218">
        <v>20.499999999999901</v>
      </c>
      <c r="K218">
        <f t="shared" si="18"/>
        <v>52.246657303221426</v>
      </c>
    </row>
    <row r="219" spans="10:11" x14ac:dyDescent="0.3">
      <c r="J219">
        <v>20.599999999999898</v>
      </c>
      <c r="K219">
        <f t="shared" si="18"/>
        <v>52.268651111899445</v>
      </c>
    </row>
    <row r="220" spans="10:11" x14ac:dyDescent="0.3">
      <c r="J220">
        <v>20.6999999999999</v>
      </c>
      <c r="K220">
        <f t="shared" si="18"/>
        <v>52.290241216306576</v>
      </c>
    </row>
    <row r="221" spans="10:11" x14ac:dyDescent="0.3">
      <c r="J221">
        <v>20.799999999999901</v>
      </c>
      <c r="K221">
        <f t="shared" si="18"/>
        <v>52.31143502657995</v>
      </c>
    </row>
    <row r="222" spans="10:11" x14ac:dyDescent="0.3">
      <c r="J222">
        <v>20.899999999999899</v>
      </c>
      <c r="K222">
        <f t="shared" si="18"/>
        <v>52.332239816840961</v>
      </c>
    </row>
    <row r="223" spans="10:11" x14ac:dyDescent="0.3">
      <c r="J223">
        <v>20.999999999999901</v>
      </c>
      <c r="K223">
        <f t="shared" si="18"/>
        <v>52.3526627276919</v>
      </c>
    </row>
    <row r="224" spans="10:11" x14ac:dyDescent="0.3">
      <c r="J224">
        <v>21.099999999999898</v>
      </c>
      <c r="K224">
        <f t="shared" si="18"/>
        <v>52.372710768666721</v>
      </c>
    </row>
    <row r="225" spans="10:11" x14ac:dyDescent="0.3">
      <c r="J225">
        <v>21.1999999999999</v>
      </c>
      <c r="K225">
        <f t="shared" si="18"/>
        <v>52.392390820636862</v>
      </c>
    </row>
    <row r="226" spans="10:11" x14ac:dyDescent="0.3">
      <c r="J226">
        <v>21.299999999999901</v>
      </c>
      <c r="K226">
        <f t="shared" si="18"/>
        <v>52.411709638172894</v>
      </c>
    </row>
    <row r="227" spans="10:11" x14ac:dyDescent="0.3">
      <c r="J227">
        <v>21.399999999999899</v>
      </c>
      <c r="K227">
        <f t="shared" si="18"/>
        <v>52.430673851862821</v>
      </c>
    </row>
    <row r="228" spans="10:11" x14ac:dyDescent="0.3">
      <c r="J228">
        <v>21.499999999999901</v>
      </c>
      <c r="K228">
        <f t="shared" si="18"/>
        <v>52.449289970587806</v>
      </c>
    </row>
    <row r="229" spans="10:11" x14ac:dyDescent="0.3">
      <c r="J229">
        <v>21.599999999999898</v>
      </c>
      <c r="K229">
        <f t="shared" si="18"/>
        <v>52.467564383756162</v>
      </c>
    </row>
    <row r="230" spans="10:11" x14ac:dyDescent="0.3">
      <c r="J230">
        <v>21.6999999999999</v>
      </c>
      <c r="K230">
        <f t="shared" si="18"/>
        <v>52.485503363496321</v>
      </c>
    </row>
    <row r="231" spans="10:11" x14ac:dyDescent="0.3">
      <c r="J231">
        <v>21.799999999999901</v>
      </c>
      <c r="K231">
        <f t="shared" si="18"/>
        <v>52.503113066809533</v>
      </c>
    </row>
    <row r="232" spans="10:11" x14ac:dyDescent="0.3">
      <c r="J232">
        <v>21.899999999999899</v>
      </c>
      <c r="K232">
        <f t="shared" si="18"/>
        <v>52.520399537683076</v>
      </c>
    </row>
    <row r="233" spans="10:11" x14ac:dyDescent="0.3">
      <c r="J233">
        <v>21.999999999999901</v>
      </c>
      <c r="K233">
        <f t="shared" si="18"/>
        <v>52.537368709164667</v>
      </c>
    </row>
    <row r="234" spans="10:11" x14ac:dyDescent="0.3">
      <c r="J234">
        <v>22.099999999999898</v>
      </c>
      <c r="K234">
        <f t="shared" si="18"/>
        <v>52.554026405398794</v>
      </c>
    </row>
    <row r="235" spans="10:11" x14ac:dyDescent="0.3">
      <c r="J235">
        <v>22.1999999999999</v>
      </c>
      <c r="K235">
        <f t="shared" si="18"/>
        <v>52.570378343625691</v>
      </c>
    </row>
    <row r="236" spans="10:11" x14ac:dyDescent="0.3">
      <c r="J236">
        <v>22.299999999999901</v>
      </c>
      <c r="K236">
        <f t="shared" si="18"/>
        <v>52.586430136143576</v>
      </c>
    </row>
    <row r="237" spans="10:11" x14ac:dyDescent="0.3">
      <c r="J237">
        <v>22.399999999999899</v>
      </c>
      <c r="K237">
        <f t="shared" si="18"/>
        <v>52.602187292234923</v>
      </c>
    </row>
    <row r="238" spans="10:11" x14ac:dyDescent="0.3">
      <c r="J238">
        <v>22.499999999999901</v>
      </c>
      <c r="K238">
        <f t="shared" si="18"/>
        <v>52.617655220057337</v>
      </c>
    </row>
    <row r="239" spans="10:11" x14ac:dyDescent="0.3">
      <c r="J239">
        <v>22.599999999999898</v>
      </c>
      <c r="K239">
        <f t="shared" si="18"/>
        <v>52.632839228499748</v>
      </c>
    </row>
    <row r="240" spans="10:11" x14ac:dyDescent="0.3">
      <c r="J240">
        <v>22.6999999999999</v>
      </c>
      <c r="K240">
        <f t="shared" si="18"/>
        <v>52.647744529004527</v>
      </c>
    </row>
    <row r="241" spans="10:11" x14ac:dyDescent="0.3">
      <c r="J241">
        <v>22.799999999999901</v>
      </c>
      <c r="K241">
        <f t="shared" si="18"/>
        <v>52.662376237356135</v>
      </c>
    </row>
    <row r="242" spans="10:11" x14ac:dyDescent="0.3">
      <c r="J242">
        <v>22.899999999999899</v>
      </c>
      <c r="K242">
        <f t="shared" si="18"/>
        <v>52.676739375436966</v>
      </c>
    </row>
    <row r="243" spans="10:11" x14ac:dyDescent="0.3">
      <c r="J243">
        <v>22.999999999999901</v>
      </c>
      <c r="K243">
        <f t="shared" si="18"/>
        <v>52.69083887295097</v>
      </c>
    </row>
    <row r="244" spans="10:11" x14ac:dyDescent="0.3">
      <c r="J244">
        <v>23.099999999999898</v>
      </c>
      <c r="K244">
        <f t="shared" si="18"/>
        <v>52.704679569115598</v>
      </c>
    </row>
    <row r="245" spans="10:11" x14ac:dyDescent="0.3">
      <c r="J245">
        <v>23.1999999999999</v>
      </c>
      <c r="K245">
        <f t="shared" si="18"/>
        <v>52.718266214322725</v>
      </c>
    </row>
    <row r="246" spans="10:11" x14ac:dyDescent="0.3">
      <c r="J246">
        <v>23.299999999999901</v>
      </c>
      <c r="K246">
        <f t="shared" si="18"/>
        <v>52.731603471769077</v>
      </c>
    </row>
    <row r="247" spans="10:11" x14ac:dyDescent="0.3">
      <c r="J247">
        <v>23.399999999999899</v>
      </c>
      <c r="K247">
        <f t="shared" si="18"/>
        <v>52.744695919056724</v>
      </c>
    </row>
    <row r="248" spans="10:11" x14ac:dyDescent="0.3">
      <c r="J248">
        <v>23.499999999999901</v>
      </c>
      <c r="K248">
        <f t="shared" si="18"/>
        <v>52.757548049764203</v>
      </c>
    </row>
    <row r="249" spans="10:11" x14ac:dyDescent="0.3">
      <c r="J249">
        <v>23.599999999999898</v>
      </c>
      <c r="K249">
        <f t="shared" si="18"/>
        <v>52.770164274988794</v>
      </c>
    </row>
    <row r="250" spans="10:11" x14ac:dyDescent="0.3">
      <c r="J250">
        <v>23.6999999999999</v>
      </c>
      <c r="K250">
        <f t="shared" si="18"/>
        <v>52.782548924860514</v>
      </c>
    </row>
    <row r="251" spans="10:11" x14ac:dyDescent="0.3">
      <c r="J251">
        <v>23.799999999999901</v>
      </c>
      <c r="K251">
        <f t="shared" si="18"/>
        <v>52.79470625002827</v>
      </c>
    </row>
    <row r="252" spans="10:11" x14ac:dyDescent="0.3">
      <c r="J252">
        <v>23.899999999999899</v>
      </c>
      <c r="K252">
        <f t="shared" si="18"/>
        <v>52.806640423118793</v>
      </c>
    </row>
    <row r="253" spans="10:11" x14ac:dyDescent="0.3">
      <c r="J253">
        <v>23.999999999999901</v>
      </c>
      <c r="K253">
        <f t="shared" si="18"/>
        <v>52.818355540168739</v>
      </c>
    </row>
    <row r="254" spans="10:11" x14ac:dyDescent="0.3">
      <c r="J254">
        <v>24.099999999999898</v>
      </c>
      <c r="K254">
        <f t="shared" si="18"/>
        <v>52.829855622030543</v>
      </c>
    </row>
    <row r="255" spans="10:11" x14ac:dyDescent="0.3">
      <c r="J255">
        <v>24.1999999999999</v>
      </c>
      <c r="K255">
        <f t="shared" si="18"/>
        <v>52.841144615752448</v>
      </c>
    </row>
    <row r="256" spans="10:11" x14ac:dyDescent="0.3">
      <c r="J256">
        <v>24.299999999999901</v>
      </c>
      <c r="K256">
        <f t="shared" si="18"/>
        <v>52.852226395933201</v>
      </c>
    </row>
    <row r="257" spans="10:11" x14ac:dyDescent="0.3">
      <c r="J257">
        <v>24.399999999999899</v>
      </c>
      <c r="K257">
        <f t="shared" si="18"/>
        <v>52.863104766051904</v>
      </c>
    </row>
    <row r="258" spans="10:11" x14ac:dyDescent="0.3">
      <c r="J258">
        <v>24.499999999999901</v>
      </c>
      <c r="K258">
        <f t="shared" si="18"/>
        <v>52.873783459773421</v>
      </c>
    </row>
    <row r="259" spans="10:11" x14ac:dyDescent="0.3">
      <c r="J259">
        <v>24.599999999999898</v>
      </c>
      <c r="K259">
        <f t="shared" si="18"/>
        <v>52.884266142229855</v>
      </c>
    </row>
    <row r="260" spans="10:11" x14ac:dyDescent="0.3">
      <c r="J260">
        <v>24.6999999999999</v>
      </c>
      <c r="K260">
        <f t="shared" si="18"/>
        <v>52.894556411278501</v>
      </c>
    </row>
    <row r="261" spans="10:11" x14ac:dyDescent="0.3">
      <c r="J261">
        <v>24.799999999999901</v>
      </c>
      <c r="K261">
        <f t="shared" si="18"/>
        <v>52.904657798736679</v>
      </c>
    </row>
    <row r="262" spans="10:11" x14ac:dyDescent="0.3">
      <c r="J262">
        <v>24.899999999999899</v>
      </c>
      <c r="K262">
        <f t="shared" si="18"/>
        <v>52.914573771593936</v>
      </c>
    </row>
    <row r="263" spans="10:11" x14ac:dyDescent="0.3">
      <c r="J263">
        <v>24.999999999999901</v>
      </c>
      <c r="K263">
        <f t="shared" si="18"/>
        <v>52.924307733201978</v>
      </c>
    </row>
    <row r="264" spans="10:11" x14ac:dyDescent="0.3">
      <c r="J264">
        <v>25.099999999999898</v>
      </c>
      <c r="K264">
        <f t="shared" si="18"/>
        <v>52.933863024442765</v>
      </c>
    </row>
    <row r="265" spans="10:11" x14ac:dyDescent="0.3">
      <c r="J265">
        <v>25.1999999999999</v>
      </c>
      <c r="K265">
        <f t="shared" si="18"/>
        <v>52.943242924875165</v>
      </c>
    </row>
    <row r="266" spans="10:11" x14ac:dyDescent="0.3">
      <c r="J266">
        <v>25.299999999999901</v>
      </c>
      <c r="K266">
        <f t="shared" si="18"/>
        <v>52.952450653860566</v>
      </c>
    </row>
    <row r="267" spans="10:11" x14ac:dyDescent="0.3">
      <c r="J267">
        <v>25.399999999999899</v>
      </c>
      <c r="K267">
        <f t="shared" si="18"/>
        <v>52.961489371667824</v>
      </c>
    </row>
    <row r="268" spans="10:11" x14ac:dyDescent="0.3">
      <c r="J268">
        <v>25.499999999999901</v>
      </c>
      <c r="K268">
        <f t="shared" si="18"/>
        <v>52.970362180557913</v>
      </c>
    </row>
    <row r="269" spans="10:11" x14ac:dyDescent="0.3">
      <c r="J269">
        <v>25.599999999999898</v>
      </c>
      <c r="K269">
        <f t="shared" si="18"/>
        <v>52.979072125848703</v>
      </c>
    </row>
    <row r="270" spans="10:11" x14ac:dyDescent="0.3">
      <c r="J270">
        <v>25.6999999999999</v>
      </c>
      <c r="K270">
        <f t="shared" ref="K270:K333" si="19">K269+($C$8-($C$7/$C$6)*K269)*(J270-J269)</f>
        <v>52.987622196960146</v>
      </c>
    </row>
    <row r="271" spans="10:11" x14ac:dyDescent="0.3">
      <c r="J271">
        <v>25.799999999999901</v>
      </c>
      <c r="K271">
        <f t="shared" si="19"/>
        <v>52.996015328440322</v>
      </c>
    </row>
    <row r="272" spans="10:11" x14ac:dyDescent="0.3">
      <c r="J272">
        <v>25.899999999999899</v>
      </c>
      <c r="K272">
        <f t="shared" si="19"/>
        <v>53.00425440097262</v>
      </c>
    </row>
    <row r="273" spans="10:11" x14ac:dyDescent="0.3">
      <c r="J273">
        <v>25.999999999999901</v>
      </c>
      <c r="K273">
        <f t="shared" si="19"/>
        <v>53.012342242364461</v>
      </c>
    </row>
    <row r="274" spans="10:11" x14ac:dyDescent="0.3">
      <c r="J274">
        <v>26.099999999999898</v>
      </c>
      <c r="K274">
        <f t="shared" si="19"/>
        <v>53.020281628517829</v>
      </c>
    </row>
    <row r="275" spans="10:11" x14ac:dyDescent="0.3">
      <c r="J275">
        <v>26.1999999999999</v>
      </c>
      <c r="K275">
        <f t="shared" si="19"/>
        <v>53.028075284382041</v>
      </c>
    </row>
    <row r="276" spans="10:11" x14ac:dyDescent="0.3">
      <c r="J276">
        <v>26.299999999999901</v>
      </c>
      <c r="K276">
        <f t="shared" si="19"/>
        <v>53.035725884888976</v>
      </c>
    </row>
    <row r="277" spans="10:11" x14ac:dyDescent="0.3">
      <c r="J277">
        <v>26.399999999999899</v>
      </c>
      <c r="K277">
        <f t="shared" si="19"/>
        <v>53.043236055871191</v>
      </c>
    </row>
    <row r="278" spans="10:11" x14ac:dyDescent="0.3">
      <c r="J278">
        <v>26.499999999999901</v>
      </c>
      <c r="K278">
        <f t="shared" si="19"/>
        <v>53.050608374963126</v>
      </c>
    </row>
    <row r="279" spans="10:11" x14ac:dyDescent="0.3">
      <c r="J279">
        <v>26.599999999999898</v>
      </c>
      <c r="K279">
        <f t="shared" si="19"/>
        <v>53.057845372485829</v>
      </c>
    </row>
    <row r="280" spans="10:11" x14ac:dyDescent="0.3">
      <c r="J280">
        <v>26.6999999999999</v>
      </c>
      <c r="K280">
        <f t="shared" si="19"/>
        <v>53.064949532315381</v>
      </c>
    </row>
    <row r="281" spans="10:11" x14ac:dyDescent="0.3">
      <c r="J281">
        <v>26.799999999999901</v>
      </c>
      <c r="K281">
        <f t="shared" si="19"/>
        <v>53.071923292735434</v>
      </c>
    </row>
    <row r="282" spans="10:11" x14ac:dyDescent="0.3">
      <c r="J282">
        <v>26.899999999999899</v>
      </c>
      <c r="K282">
        <f t="shared" si="19"/>
        <v>53.078769047274065</v>
      </c>
    </row>
    <row r="283" spans="10:11" x14ac:dyDescent="0.3">
      <c r="J283">
        <v>26.999999999999901</v>
      </c>
      <c r="K283">
        <f t="shared" si="19"/>
        <v>53.085489145525273</v>
      </c>
    </row>
    <row r="284" spans="10:11" x14ac:dyDescent="0.3">
      <c r="J284">
        <v>27.099999999999898</v>
      </c>
      <c r="K284">
        <f t="shared" si="19"/>
        <v>53.092085893955428</v>
      </c>
    </row>
    <row r="285" spans="10:11" x14ac:dyDescent="0.3">
      <c r="J285">
        <v>27.1999999999999</v>
      </c>
      <c r="K285">
        <f t="shared" si="19"/>
        <v>53.098561556694868</v>
      </c>
    </row>
    <row r="286" spans="10:11" x14ac:dyDescent="0.3">
      <c r="J286">
        <v>27.299999999999901</v>
      </c>
      <c r="K286">
        <f t="shared" si="19"/>
        <v>53.104918356315004</v>
      </c>
    </row>
    <row r="287" spans="10:11" x14ac:dyDescent="0.3">
      <c r="J287">
        <v>27.399999999999899</v>
      </c>
      <c r="K287">
        <f t="shared" si="19"/>
        <v>53.111158474591157</v>
      </c>
    </row>
    <row r="288" spans="10:11" x14ac:dyDescent="0.3">
      <c r="J288">
        <v>27.499999999999901</v>
      </c>
      <c r="K288">
        <f t="shared" si="19"/>
        <v>53.117284053251382</v>
      </c>
    </row>
    <row r="289" spans="10:11" x14ac:dyDescent="0.3">
      <c r="J289">
        <v>27.599999999999898</v>
      </c>
      <c r="K289">
        <f t="shared" si="19"/>
        <v>53.123297194711526</v>
      </c>
    </row>
    <row r="290" spans="10:11" x14ac:dyDescent="0.3">
      <c r="J290">
        <v>27.6999999999999</v>
      </c>
      <c r="K290">
        <f t="shared" si="19"/>
        <v>53.129199962796854</v>
      </c>
    </row>
    <row r="291" spans="10:11" x14ac:dyDescent="0.3">
      <c r="J291">
        <v>27.799999999999901</v>
      </c>
      <c r="K291">
        <f t="shared" si="19"/>
        <v>53.134994383450362</v>
      </c>
    </row>
    <row r="292" spans="10:11" x14ac:dyDescent="0.3">
      <c r="J292">
        <v>27.899999999999899</v>
      </c>
      <c r="K292">
        <f t="shared" si="19"/>
        <v>53.140682445428148</v>
      </c>
    </row>
    <row r="293" spans="10:11" x14ac:dyDescent="0.3">
      <c r="J293">
        <v>27.999999999999901</v>
      </c>
      <c r="K293">
        <f t="shared" si="19"/>
        <v>53.146266100981961</v>
      </c>
    </row>
    <row r="294" spans="10:11" x14ac:dyDescent="0.3">
      <c r="J294">
        <v>28.099999999999898</v>
      </c>
      <c r="K294">
        <f t="shared" si="19"/>
        <v>53.151747266529284</v>
      </c>
    </row>
    <row r="295" spans="10:11" x14ac:dyDescent="0.3">
      <c r="J295">
        <v>28.1999999999999</v>
      </c>
      <c r="K295">
        <f t="shared" si="19"/>
        <v>53.15712782331105</v>
      </c>
    </row>
    <row r="296" spans="10:11" x14ac:dyDescent="0.3">
      <c r="J296">
        <v>28.299999999999901</v>
      </c>
      <c r="K296">
        <f t="shared" si="19"/>
        <v>53.162409618037351</v>
      </c>
    </row>
    <row r="297" spans="10:11" x14ac:dyDescent="0.3">
      <c r="J297">
        <v>28.399999999999899</v>
      </c>
      <c r="K297">
        <f t="shared" si="19"/>
        <v>53.167594463521247</v>
      </c>
    </row>
    <row r="298" spans="10:11" x14ac:dyDescent="0.3">
      <c r="J298">
        <v>28.499999999999901</v>
      </c>
      <c r="K298">
        <f t="shared" si="19"/>
        <v>53.172684139300962</v>
      </c>
    </row>
    <row r="299" spans="10:11" x14ac:dyDescent="0.3">
      <c r="J299">
        <v>28.599999999999898</v>
      </c>
      <c r="K299">
        <f t="shared" si="19"/>
        <v>53.17768039225065</v>
      </c>
    </row>
    <row r="300" spans="10:11" x14ac:dyDescent="0.3">
      <c r="J300">
        <v>28.6999999999999</v>
      </c>
      <c r="K300">
        <f t="shared" si="19"/>
        <v>53.182584937179968</v>
      </c>
    </row>
    <row r="301" spans="10:11" x14ac:dyDescent="0.3">
      <c r="J301">
        <v>28.799999999999901</v>
      </c>
      <c r="K301">
        <f t="shared" si="19"/>
        <v>53.187399457422629</v>
      </c>
    </row>
    <row r="302" spans="10:11" x14ac:dyDescent="0.3">
      <c r="J302">
        <v>28.899999999999899</v>
      </c>
      <c r="K302">
        <f t="shared" si="19"/>
        <v>53.192125605414134</v>
      </c>
    </row>
    <row r="303" spans="10:11" x14ac:dyDescent="0.3">
      <c r="J303">
        <v>28.999999999999901</v>
      </c>
      <c r="K303">
        <f t="shared" si="19"/>
        <v>53.196765003258953</v>
      </c>
    </row>
    <row r="304" spans="10:11" x14ac:dyDescent="0.3">
      <c r="J304">
        <v>29.099999999999898</v>
      </c>
      <c r="K304">
        <f t="shared" si="19"/>
        <v>53.201319243287237</v>
      </c>
    </row>
    <row r="305" spans="10:11" x14ac:dyDescent="0.3">
      <c r="J305">
        <v>29.1999999999999</v>
      </c>
      <c r="K305">
        <f t="shared" si="19"/>
        <v>53.205789888601345</v>
      </c>
    </row>
    <row r="306" spans="10:11" x14ac:dyDescent="0.3">
      <c r="J306">
        <v>29.299999999999901</v>
      </c>
      <c r="K306">
        <f t="shared" si="19"/>
        <v>53.210178473612331</v>
      </c>
    </row>
    <row r="307" spans="10:11" x14ac:dyDescent="0.3">
      <c r="J307">
        <v>29.399999999999899</v>
      </c>
      <c r="K307">
        <f t="shared" si="19"/>
        <v>53.21448650456658</v>
      </c>
    </row>
    <row r="308" spans="10:11" x14ac:dyDescent="0.3">
      <c r="J308">
        <v>29.499999999999901</v>
      </c>
      <c r="K308">
        <f t="shared" si="19"/>
        <v>53.218715460062789</v>
      </c>
    </row>
    <row r="309" spans="10:11" x14ac:dyDescent="0.3">
      <c r="J309">
        <v>29.599999999999898</v>
      </c>
      <c r="K309">
        <f t="shared" si="19"/>
        <v>53.222866791559433</v>
      </c>
    </row>
    <row r="310" spans="10:11" x14ac:dyDescent="0.3">
      <c r="J310">
        <v>29.6999999999999</v>
      </c>
      <c r="K310">
        <f t="shared" si="19"/>
        <v>53.22694192387295</v>
      </c>
    </row>
    <row r="311" spans="10:11" x14ac:dyDescent="0.3">
      <c r="J311">
        <v>29.799999999999901</v>
      </c>
      <c r="K311">
        <f t="shared" si="19"/>
        <v>53.230942255666768</v>
      </c>
    </row>
    <row r="312" spans="10:11" x14ac:dyDescent="0.3">
      <c r="J312">
        <v>29.899999999999899</v>
      </c>
      <c r="K312">
        <f t="shared" si="19"/>
        <v>53.234869159931328</v>
      </c>
    </row>
    <row r="313" spans="10:11" x14ac:dyDescent="0.3">
      <c r="J313">
        <v>29.999999999999901</v>
      </c>
      <c r="K313">
        <f t="shared" si="19"/>
        <v>53.238723984455348</v>
      </c>
    </row>
    <row r="314" spans="10:11" x14ac:dyDescent="0.3">
      <c r="J314">
        <v>30.099999999999898</v>
      </c>
      <c r="K314">
        <f t="shared" si="19"/>
        <v>53.2425080522884</v>
      </c>
    </row>
    <row r="315" spans="10:11" x14ac:dyDescent="0.3">
      <c r="J315">
        <v>30.1999999999999</v>
      </c>
      <c r="K315">
        <f t="shared" si="19"/>
        <v>53.246222662195002</v>
      </c>
    </row>
    <row r="316" spans="10:11" x14ac:dyDescent="0.3">
      <c r="J316">
        <v>30.299999999999901</v>
      </c>
      <c r="K316">
        <f t="shared" si="19"/>
        <v>53.249869089100379</v>
      </c>
    </row>
    <row r="317" spans="10:11" x14ac:dyDescent="0.3">
      <c r="J317">
        <v>30.399999999999899</v>
      </c>
      <c r="K317">
        <f t="shared" si="19"/>
        <v>53.253448584528051</v>
      </c>
    </row>
    <row r="318" spans="10:11" x14ac:dyDescent="0.3">
      <c r="J318">
        <v>30.499999999999901</v>
      </c>
      <c r="K318">
        <f t="shared" si="19"/>
        <v>53.256962377029375</v>
      </c>
    </row>
    <row r="319" spans="10:11" x14ac:dyDescent="0.3">
      <c r="J319">
        <v>30.599999999999898</v>
      </c>
      <c r="K319">
        <f t="shared" si="19"/>
        <v>53.260411672605194</v>
      </c>
    </row>
    <row r="320" spans="10:11" x14ac:dyDescent="0.3">
      <c r="J320">
        <v>30.6999999999999</v>
      </c>
      <c r="K320">
        <f t="shared" si="19"/>
        <v>53.263797655119781</v>
      </c>
    </row>
    <row r="321" spans="10:11" x14ac:dyDescent="0.3">
      <c r="J321">
        <v>30.799999999999901</v>
      </c>
      <c r="K321">
        <f t="shared" si="19"/>
        <v>53.267121486707154</v>
      </c>
    </row>
    <row r="322" spans="10:11" x14ac:dyDescent="0.3">
      <c r="J322">
        <v>30.899999999999899</v>
      </c>
      <c r="K322">
        <f t="shared" si="19"/>
        <v>53.270384308169945</v>
      </c>
    </row>
    <row r="323" spans="10:11" x14ac:dyDescent="0.3">
      <c r="J323">
        <v>30.999999999999901</v>
      </c>
      <c r="K323">
        <f t="shared" si="19"/>
        <v>53.27358723937094</v>
      </c>
    </row>
    <row r="324" spans="10:11" x14ac:dyDescent="0.3">
      <c r="J324">
        <v>31.099999999999898</v>
      </c>
      <c r="K324">
        <f t="shared" si="19"/>
        <v>53.276731379617438</v>
      </c>
    </row>
    <row r="325" spans="10:11" x14ac:dyDescent="0.3">
      <c r="J325">
        <v>31.1999999999999</v>
      </c>
      <c r="K325">
        <f t="shared" si="19"/>
        <v>53.279817808038558</v>
      </c>
    </row>
    <row r="326" spans="10:11" x14ac:dyDescent="0.3">
      <c r="J326">
        <v>31.299999999999901</v>
      </c>
      <c r="K326">
        <f t="shared" si="19"/>
        <v>53.282847583955622</v>
      </c>
    </row>
    <row r="327" spans="10:11" x14ac:dyDescent="0.3">
      <c r="J327">
        <v>31.399999999999899</v>
      </c>
      <c r="K327">
        <f t="shared" si="19"/>
        <v>53.28582174724572</v>
      </c>
    </row>
    <row r="328" spans="10:11" x14ac:dyDescent="0.3">
      <c r="J328">
        <v>31.499999999999901</v>
      </c>
      <c r="K328">
        <f t="shared" si="19"/>
        <v>53.288741318698627</v>
      </c>
    </row>
    <row r="329" spans="10:11" x14ac:dyDescent="0.3">
      <c r="J329">
        <v>31.599999999999898</v>
      </c>
      <c r="K329">
        <f t="shared" si="19"/>
        <v>53.291607300367154</v>
      </c>
    </row>
    <row r="330" spans="10:11" x14ac:dyDescent="0.3">
      <c r="J330">
        <v>31.6999999999999</v>
      </c>
      <c r="K330">
        <f t="shared" si="19"/>
        <v>53.294420675911077</v>
      </c>
    </row>
    <row r="331" spans="10:11" x14ac:dyDescent="0.3">
      <c r="J331">
        <v>31.799999999999901</v>
      </c>
      <c r="K331">
        <f t="shared" si="19"/>
        <v>53.297182410934738</v>
      </c>
    </row>
    <row r="332" spans="10:11" x14ac:dyDescent="0.3">
      <c r="J332">
        <v>31.899999999999899</v>
      </c>
      <c r="K332">
        <f t="shared" si="19"/>
        <v>53.299893453318461</v>
      </c>
    </row>
    <row r="333" spans="10:11" x14ac:dyDescent="0.3">
      <c r="J333">
        <v>31.999999999999901</v>
      </c>
      <c r="K333">
        <f t="shared" si="19"/>
        <v>53.302554733543893</v>
      </c>
    </row>
    <row r="334" spans="10:11" x14ac:dyDescent="0.3">
      <c r="J334">
        <v>32.099999999999902</v>
      </c>
      <c r="K334">
        <f t="shared" ref="K334:K397" si="20">K333+($C$8-($C$7/$C$6)*K333)*(J334-J333)</f>
        <v>53.305167165013351</v>
      </c>
    </row>
    <row r="335" spans="10:11" x14ac:dyDescent="0.3">
      <c r="J335">
        <v>32.199999999999903</v>
      </c>
      <c r="K335">
        <f t="shared" si="20"/>
        <v>53.307731644363329</v>
      </c>
    </row>
    <row r="336" spans="10:11" x14ac:dyDescent="0.3">
      <c r="J336">
        <v>32.299999999999898</v>
      </c>
      <c r="K336">
        <f t="shared" si="20"/>
        <v>53.310249051772225</v>
      </c>
    </row>
    <row r="337" spans="10:11" x14ac:dyDescent="0.3">
      <c r="J337">
        <v>32.399999999999899</v>
      </c>
      <c r="K337">
        <f t="shared" si="20"/>
        <v>53.312720251262455</v>
      </c>
    </row>
    <row r="338" spans="10:11" x14ac:dyDescent="0.3">
      <c r="J338">
        <v>32.499999999999901</v>
      </c>
      <c r="K338">
        <f t="shared" si="20"/>
        <v>53.31514609099699</v>
      </c>
    </row>
    <row r="339" spans="10:11" x14ac:dyDescent="0.3">
      <c r="J339">
        <v>32.599999999999902</v>
      </c>
      <c r="K339">
        <f t="shared" si="20"/>
        <v>53.317527403570466</v>
      </c>
    </row>
    <row r="340" spans="10:11" x14ac:dyDescent="0.3">
      <c r="J340">
        <v>32.699999999999903</v>
      </c>
      <c r="K340">
        <f t="shared" si="20"/>
        <v>53.319865006294947</v>
      </c>
    </row>
    <row r="341" spans="10:11" x14ac:dyDescent="0.3">
      <c r="J341">
        <v>32.799999999999898</v>
      </c>
      <c r="K341">
        <f t="shared" si="20"/>
        <v>53.32215970148043</v>
      </c>
    </row>
    <row r="342" spans="10:11" x14ac:dyDescent="0.3">
      <c r="J342">
        <v>32.899999999999899</v>
      </c>
      <c r="K342">
        <f t="shared" si="20"/>
        <v>53.324412276710234</v>
      </c>
    </row>
    <row r="343" spans="10:11" x14ac:dyDescent="0.3">
      <c r="J343">
        <v>32.999999999999901</v>
      </c>
      <c r="K343">
        <f t="shared" si="20"/>
        <v>53.326623505111293</v>
      </c>
    </row>
    <row r="344" spans="10:11" x14ac:dyDescent="0.3">
      <c r="J344">
        <v>33.099999999999902</v>
      </c>
      <c r="K344">
        <f t="shared" si="20"/>
        <v>53.328794145619533</v>
      </c>
    </row>
    <row r="345" spans="10:11" x14ac:dyDescent="0.3">
      <c r="J345">
        <v>33.199999999999903</v>
      </c>
      <c r="K345">
        <f t="shared" si="20"/>
        <v>53.330924943240319</v>
      </c>
    </row>
    <row r="346" spans="10:11" x14ac:dyDescent="0.3">
      <c r="J346">
        <v>33.299999999999898</v>
      </c>
      <c r="K346">
        <f t="shared" si="20"/>
        <v>53.33301662930419</v>
      </c>
    </row>
    <row r="347" spans="10:11" x14ac:dyDescent="0.3">
      <c r="J347">
        <v>33.399999999999899</v>
      </c>
      <c r="K347">
        <f t="shared" si="20"/>
        <v>53.335069921717846</v>
      </c>
    </row>
    <row r="348" spans="10:11" x14ac:dyDescent="0.3">
      <c r="J348">
        <v>33.499999999999901</v>
      </c>
      <c r="K348">
        <f t="shared" si="20"/>
        <v>53.33708552521054</v>
      </c>
    </row>
    <row r="349" spans="10:11" x14ac:dyDescent="0.3">
      <c r="J349">
        <v>33.599999999999902</v>
      </c>
      <c r="K349">
        <f t="shared" si="20"/>
        <v>53.339064131575988</v>
      </c>
    </row>
    <row r="350" spans="10:11" x14ac:dyDescent="0.3">
      <c r="J350">
        <v>33.699999999999903</v>
      </c>
      <c r="K350">
        <f t="shared" si="20"/>
        <v>53.34100641990976</v>
      </c>
    </row>
    <row r="351" spans="10:11" x14ac:dyDescent="0.3">
      <c r="J351">
        <v>33.799999999999898</v>
      </c>
      <c r="K351">
        <f t="shared" si="20"/>
        <v>53.342913056842399</v>
      </c>
    </row>
    <row r="352" spans="10:11" x14ac:dyDescent="0.3">
      <c r="J352">
        <v>33.899999999999899</v>
      </c>
      <c r="K352">
        <f t="shared" si="20"/>
        <v>53.344784696768201</v>
      </c>
    </row>
    <row r="353" spans="10:11" x14ac:dyDescent="0.3">
      <c r="J353">
        <v>33.999999999999901</v>
      </c>
      <c r="K353">
        <f t="shared" si="20"/>
        <v>53.346621982069813</v>
      </c>
    </row>
    <row r="354" spans="10:11" x14ac:dyDescent="0.3">
      <c r="J354">
        <v>34.099999999999902</v>
      </c>
      <c r="K354">
        <f t="shared" si="20"/>
        <v>53.34842554333872</v>
      </c>
    </row>
    <row r="355" spans="10:11" x14ac:dyDescent="0.3">
      <c r="J355">
        <v>34.199999999999903</v>
      </c>
      <c r="K355">
        <f t="shared" si="20"/>
        <v>53.350195999591683</v>
      </c>
    </row>
    <row r="356" spans="10:11" x14ac:dyDescent="0.3">
      <c r="J356">
        <v>34.299999999999898</v>
      </c>
      <c r="K356">
        <f t="shared" si="20"/>
        <v>53.351933958483173</v>
      </c>
    </row>
    <row r="357" spans="10:11" x14ac:dyDescent="0.3">
      <c r="J357">
        <v>34.399999999999899</v>
      </c>
      <c r="K357">
        <f t="shared" si="20"/>
        <v>53.35364001651395</v>
      </c>
    </row>
    <row r="358" spans="10:11" x14ac:dyDescent="0.3">
      <c r="J358">
        <v>34.499999999999901</v>
      </c>
      <c r="K358">
        <f t="shared" si="20"/>
        <v>53.355314759235796</v>
      </c>
    </row>
    <row r="359" spans="10:11" x14ac:dyDescent="0.3">
      <c r="J359">
        <v>34.599999999999902</v>
      </c>
      <c r="K359">
        <f t="shared" si="20"/>
        <v>53.356958761452468</v>
      </c>
    </row>
    <row r="360" spans="10:11" x14ac:dyDescent="0.3">
      <c r="J360">
        <v>34.699999999999903</v>
      </c>
      <c r="K360">
        <f t="shared" si="20"/>
        <v>53.358572587416994</v>
      </c>
    </row>
    <row r="361" spans="10:11" x14ac:dyDescent="0.3">
      <c r="J361">
        <v>34.799999999999898</v>
      </c>
      <c r="K361">
        <f t="shared" si="20"/>
        <v>53.360156791025346</v>
      </c>
    </row>
    <row r="362" spans="10:11" x14ac:dyDescent="0.3">
      <c r="J362">
        <v>34.899999999999899</v>
      </c>
      <c r="K362">
        <f t="shared" si="20"/>
        <v>53.361711916006527</v>
      </c>
    </row>
    <row r="363" spans="10:11" x14ac:dyDescent="0.3">
      <c r="J363">
        <v>34.999999999999901</v>
      </c>
      <c r="K363">
        <f t="shared" si="20"/>
        <v>53.363238496109197</v>
      </c>
    </row>
    <row r="364" spans="10:11" x14ac:dyDescent="0.3">
      <c r="J364">
        <v>35.099999999999902</v>
      </c>
      <c r="K364">
        <f t="shared" si="20"/>
        <v>53.36473705528487</v>
      </c>
    </row>
    <row r="365" spans="10:11" x14ac:dyDescent="0.3">
      <c r="J365">
        <v>35.199999999999903</v>
      </c>
      <c r="K365">
        <f t="shared" si="20"/>
        <v>53.366208107867749</v>
      </c>
    </row>
    <row r="366" spans="10:11" x14ac:dyDescent="0.3">
      <c r="J366">
        <v>35.299999999999898</v>
      </c>
      <c r="K366">
        <f t="shared" si="20"/>
        <v>53.367652158751234</v>
      </c>
    </row>
    <row r="367" spans="10:11" x14ac:dyDescent="0.3">
      <c r="J367">
        <v>35.399999999999899</v>
      </c>
      <c r="K367">
        <f t="shared" si="20"/>
        <v>53.36906970356123</v>
      </c>
    </row>
    <row r="368" spans="10:11" x14ac:dyDescent="0.3">
      <c r="J368">
        <v>35.499999999999901</v>
      </c>
      <c r="K368">
        <f t="shared" si="20"/>
        <v>53.370461228826258</v>
      </c>
    </row>
    <row r="369" spans="10:11" x14ac:dyDescent="0.3">
      <c r="J369">
        <v>35.599999999999902</v>
      </c>
      <c r="K369">
        <f t="shared" si="20"/>
        <v>53.371827212144424</v>
      </c>
    </row>
    <row r="370" spans="10:11" x14ac:dyDescent="0.3">
      <c r="J370">
        <v>35.699999999999903</v>
      </c>
      <c r="K370">
        <f t="shared" si="20"/>
        <v>53.373168122347352</v>
      </c>
    </row>
    <row r="371" spans="10:11" x14ac:dyDescent="0.3">
      <c r="J371">
        <v>35.799999999999898</v>
      </c>
      <c r="K371">
        <f t="shared" si="20"/>
        <v>53.374484419661094</v>
      </c>
    </row>
    <row r="372" spans="10:11" x14ac:dyDescent="0.3">
      <c r="J372">
        <v>35.899999999999899</v>
      </c>
      <c r="K372">
        <f t="shared" si="20"/>
        <v>53.375776555864086</v>
      </c>
    </row>
    <row r="373" spans="10:11" x14ac:dyDescent="0.3">
      <c r="J373">
        <v>35.999999999999901</v>
      </c>
      <c r="K373">
        <f t="shared" si="20"/>
        <v>53.377044974442207</v>
      </c>
    </row>
    <row r="374" spans="10:11" x14ac:dyDescent="0.3">
      <c r="J374">
        <v>36.099999999999902</v>
      </c>
      <c r="K374">
        <f t="shared" si="20"/>
        <v>53.378290110740991</v>
      </c>
    </row>
    <row r="375" spans="10:11" x14ac:dyDescent="0.3">
      <c r="J375">
        <v>36.199999999999903</v>
      </c>
      <c r="K375">
        <f t="shared" si="20"/>
        <v>53.379512392115053</v>
      </c>
    </row>
    <row r="376" spans="10:11" x14ac:dyDescent="0.3">
      <c r="J376">
        <v>36.299999999999898</v>
      </c>
      <c r="K376">
        <f t="shared" si="20"/>
        <v>53.380712238074764</v>
      </c>
    </row>
    <row r="377" spans="10:11" x14ac:dyDescent="0.3">
      <c r="J377">
        <v>36.399999999999899</v>
      </c>
      <c r="K377">
        <f t="shared" si="20"/>
        <v>53.381890060430223</v>
      </c>
    </row>
    <row r="378" spans="10:11" x14ac:dyDescent="0.3">
      <c r="J378">
        <v>36.499999999999901</v>
      </c>
      <c r="K378">
        <f t="shared" si="20"/>
        <v>53.383046263432604</v>
      </c>
    </row>
    <row r="379" spans="10:11" x14ac:dyDescent="0.3">
      <c r="J379">
        <v>36.599999999999902</v>
      </c>
      <c r="K379">
        <f t="shared" si="20"/>
        <v>53.384181243912913</v>
      </c>
    </row>
    <row r="380" spans="10:11" x14ac:dyDescent="0.3">
      <c r="J380">
        <v>36.699999999999903</v>
      </c>
      <c r="K380">
        <f t="shared" si="20"/>
        <v>53.385295391418182</v>
      </c>
    </row>
    <row r="381" spans="10:11" x14ac:dyDescent="0.3">
      <c r="J381">
        <v>36.799999999999898</v>
      </c>
      <c r="K381">
        <f t="shared" si="20"/>
        <v>53.386389088345162</v>
      </c>
    </row>
    <row r="382" spans="10:11" x14ac:dyDescent="0.3">
      <c r="J382">
        <v>36.899999999999899</v>
      </c>
      <c r="K382">
        <f t="shared" si="20"/>
        <v>53.387462710071574</v>
      </c>
    </row>
    <row r="383" spans="10:11" x14ac:dyDescent="0.3">
      <c r="J383">
        <v>36.999999999999901</v>
      </c>
      <c r="K383">
        <f t="shared" si="20"/>
        <v>53.388516625084947</v>
      </c>
    </row>
    <row r="384" spans="10:11" x14ac:dyDescent="0.3">
      <c r="J384">
        <v>37.099999999999902</v>
      </c>
      <c r="K384">
        <f t="shared" si="20"/>
        <v>53.389551195109085</v>
      </c>
    </row>
    <row r="385" spans="10:11" x14ac:dyDescent="0.3">
      <c r="J385">
        <v>37.199999999999903</v>
      </c>
      <c r="K385">
        <f t="shared" si="20"/>
        <v>53.39056677522823</v>
      </c>
    </row>
    <row r="386" spans="10:11" x14ac:dyDescent="0.3">
      <c r="J386">
        <v>37.299999999999898</v>
      </c>
      <c r="K386">
        <f t="shared" si="20"/>
        <v>53.391563714008917</v>
      </c>
    </row>
    <row r="387" spans="10:11" x14ac:dyDescent="0.3">
      <c r="J387">
        <v>37.399999999999899</v>
      </c>
      <c r="K387">
        <f t="shared" si="20"/>
        <v>53.392542353619618</v>
      </c>
    </row>
    <row r="388" spans="10:11" x14ac:dyDescent="0.3">
      <c r="J388">
        <v>37.499999999999901</v>
      </c>
      <c r="K388">
        <f t="shared" si="20"/>
        <v>53.393503029948185</v>
      </c>
    </row>
    <row r="389" spans="10:11" x14ac:dyDescent="0.3">
      <c r="J389">
        <v>37.599999999999902</v>
      </c>
      <c r="K389">
        <f t="shared" si="20"/>
        <v>53.394446072717123</v>
      </c>
    </row>
    <row r="390" spans="10:11" x14ac:dyDescent="0.3">
      <c r="J390">
        <v>37.699999999999903</v>
      </c>
      <c r="K390">
        <f t="shared" si="20"/>
        <v>53.395371805596767</v>
      </c>
    </row>
    <row r="391" spans="10:11" x14ac:dyDescent="0.3">
      <c r="J391">
        <v>37.799999999999898</v>
      </c>
      <c r="K391">
        <f t="shared" si="20"/>
        <v>53.396280546316355</v>
      </c>
    </row>
    <row r="392" spans="10:11" x14ac:dyDescent="0.3">
      <c r="J392">
        <v>37.899999999999899</v>
      </c>
      <c r="K392">
        <f t="shared" si="20"/>
        <v>53.397172606773104</v>
      </c>
    </row>
    <row r="393" spans="10:11" x14ac:dyDescent="0.3">
      <c r="J393">
        <v>37.999999999999901</v>
      </c>
      <c r="K393">
        <f t="shared" si="20"/>
        <v>53.398048293139233</v>
      </c>
    </row>
    <row r="394" spans="10:11" x14ac:dyDescent="0.3">
      <c r="J394">
        <v>38.099999999999902</v>
      </c>
      <c r="K394">
        <f t="shared" si="20"/>
        <v>53.398907905967071</v>
      </c>
    </row>
    <row r="395" spans="10:11" x14ac:dyDescent="0.3">
      <c r="J395">
        <v>38.199999999999903</v>
      </c>
      <c r="K395">
        <f t="shared" si="20"/>
        <v>53.399751740292196</v>
      </c>
    </row>
    <row r="396" spans="10:11" x14ac:dyDescent="0.3">
      <c r="J396">
        <v>38.299999999999898</v>
      </c>
      <c r="K396">
        <f t="shared" si="20"/>
        <v>53.400580085734703</v>
      </c>
    </row>
    <row r="397" spans="10:11" x14ac:dyDescent="0.3">
      <c r="J397">
        <v>38.399999999999899</v>
      </c>
      <c r="K397">
        <f t="shared" si="20"/>
        <v>53.4013932265986</v>
      </c>
    </row>
    <row r="398" spans="10:11" x14ac:dyDescent="0.3">
      <c r="J398">
        <v>38.499999999999901</v>
      </c>
      <c r="K398">
        <f t="shared" ref="K398:K461" si="21">K397+($C$8-($C$7/$C$6)*K397)*(J398-J397)</f>
        <v>53.402191441969407</v>
      </c>
    </row>
    <row r="399" spans="10:11" x14ac:dyDescent="0.3">
      <c r="J399">
        <v>38.599999999999902</v>
      </c>
      <c r="K399">
        <f t="shared" si="21"/>
        <v>53.402975005809907</v>
      </c>
    </row>
    <row r="400" spans="10:11" x14ac:dyDescent="0.3">
      <c r="J400">
        <v>38.699999999999903</v>
      </c>
      <c r="K400">
        <f t="shared" si="21"/>
        <v>53.403744187054215</v>
      </c>
    </row>
    <row r="401" spans="10:11" x14ac:dyDescent="0.3">
      <c r="J401">
        <v>38.799999999999898</v>
      </c>
      <c r="K401">
        <f t="shared" si="21"/>
        <v>53.404499249700066</v>
      </c>
    </row>
    <row r="402" spans="10:11" x14ac:dyDescent="0.3">
      <c r="J402">
        <v>38.899999999999899</v>
      </c>
      <c r="K402">
        <f t="shared" si="21"/>
        <v>53.405240452899406</v>
      </c>
    </row>
    <row r="403" spans="10:11" x14ac:dyDescent="0.3">
      <c r="J403">
        <v>38.999999999999901</v>
      </c>
      <c r="K403">
        <f t="shared" si="21"/>
        <v>53.40596805104736</v>
      </c>
    </row>
    <row r="404" spans="10:11" x14ac:dyDescent="0.3">
      <c r="J404">
        <v>39.099999999999902</v>
      </c>
      <c r="K404">
        <f t="shared" si="21"/>
        <v>53.406682293869544</v>
      </c>
    </row>
    <row r="405" spans="10:11" x14ac:dyDescent="0.3">
      <c r="J405">
        <v>39.199999999999903</v>
      </c>
      <c r="K405">
        <f t="shared" si="21"/>
        <v>53.407383426507771</v>
      </c>
    </row>
    <row r="406" spans="10:11" x14ac:dyDescent="0.3">
      <c r="J406">
        <v>39.299999999999898</v>
      </c>
      <c r="K406">
        <f t="shared" si="21"/>
        <v>53.408071689604178</v>
      </c>
    </row>
    <row r="407" spans="10:11" x14ac:dyDescent="0.3">
      <c r="J407">
        <v>39.399999999999899</v>
      </c>
      <c r="K407">
        <f t="shared" si="21"/>
        <v>53.408747319383835</v>
      </c>
    </row>
    <row r="408" spans="10:11" x14ac:dyDescent="0.3">
      <c r="J408">
        <v>39.499999999999901</v>
      </c>
      <c r="K408">
        <f t="shared" si="21"/>
        <v>53.409410547735817</v>
      </c>
    </row>
    <row r="409" spans="10:11" x14ac:dyDescent="0.3">
      <c r="J409">
        <v>39.599999999999902</v>
      </c>
      <c r="K409">
        <f t="shared" si="21"/>
        <v>53.410061602292792</v>
      </c>
    </row>
    <row r="410" spans="10:11" x14ac:dyDescent="0.3">
      <c r="J410">
        <v>39.699999999999903</v>
      </c>
      <c r="K410">
        <f t="shared" si="21"/>
        <v>53.410700706509154</v>
      </c>
    </row>
    <row r="411" spans="10:11" x14ac:dyDescent="0.3">
      <c r="J411">
        <v>39.799999999999898</v>
      </c>
      <c r="K411">
        <f t="shared" si="21"/>
        <v>53.411328079737693</v>
      </c>
    </row>
    <row r="412" spans="10:11" x14ac:dyDescent="0.3">
      <c r="J412">
        <v>39.899999999999899</v>
      </c>
      <c r="K412">
        <f t="shared" si="21"/>
        <v>53.411943937304919</v>
      </c>
    </row>
    <row r="413" spans="10:11" x14ac:dyDescent="0.3">
      <c r="J413">
        <v>39.999999999999901</v>
      </c>
      <c r="K413">
        <f t="shared" si="21"/>
        <v>53.412548490584932</v>
      </c>
    </row>
    <row r="414" spans="10:11" x14ac:dyDescent="0.3">
      <c r="J414">
        <v>40.099999999999902</v>
      </c>
      <c r="K414">
        <f t="shared" si="21"/>
        <v>53.413141947071992</v>
      </c>
    </row>
    <row r="415" spans="10:11" x14ac:dyDescent="0.3">
      <c r="J415">
        <v>40.199999999999903</v>
      </c>
      <c r="K415">
        <f t="shared" si="21"/>
        <v>53.413724510451729</v>
      </c>
    </row>
    <row r="416" spans="10:11" x14ac:dyDescent="0.3">
      <c r="J416">
        <v>40.299999999999898</v>
      </c>
      <c r="K416">
        <f t="shared" si="21"/>
        <v>53.414296380671047</v>
      </c>
    </row>
    <row r="417" spans="10:11" x14ac:dyDescent="0.3">
      <c r="J417">
        <v>40.399999999999899</v>
      </c>
      <c r="K417">
        <f t="shared" si="21"/>
        <v>53.414857754006746</v>
      </c>
    </row>
    <row r="418" spans="10:11" x14ac:dyDescent="0.3">
      <c r="J418">
        <v>40.499999999999901</v>
      </c>
      <c r="K418">
        <f t="shared" si="21"/>
        <v>53.415408823132907</v>
      </c>
    </row>
    <row r="419" spans="10:11" x14ac:dyDescent="0.3">
      <c r="J419">
        <v>40.599999999999902</v>
      </c>
      <c r="K419">
        <f t="shared" si="21"/>
        <v>53.415949777187002</v>
      </c>
    </row>
    <row r="420" spans="10:11" x14ac:dyDescent="0.3">
      <c r="J420">
        <v>40.699999999999903</v>
      </c>
      <c r="K420">
        <f t="shared" si="21"/>
        <v>53.416480801834815</v>
      </c>
    </row>
    <row r="421" spans="10:11" x14ac:dyDescent="0.3">
      <c r="J421">
        <v>40.799999999999898</v>
      </c>
      <c r="K421">
        <f t="shared" si="21"/>
        <v>53.417002079334175</v>
      </c>
    </row>
    <row r="422" spans="10:11" x14ac:dyDescent="0.3">
      <c r="J422">
        <v>40.899999999999899</v>
      </c>
      <c r="K422">
        <f t="shared" si="21"/>
        <v>53.417513788597496</v>
      </c>
    </row>
    <row r="423" spans="10:11" x14ac:dyDescent="0.3">
      <c r="J423">
        <v>40.999999999999901</v>
      </c>
      <c r="K423">
        <f t="shared" si="21"/>
        <v>53.418016105253194</v>
      </c>
    </row>
    <row r="424" spans="10:11" x14ac:dyDescent="0.3">
      <c r="J424">
        <v>41.099999999999902</v>
      </c>
      <c r="K424">
        <f t="shared" si="21"/>
        <v>53.418509201705966</v>
      </c>
    </row>
    <row r="425" spans="10:11" x14ac:dyDescent="0.3">
      <c r="J425">
        <v>41.199999999999903</v>
      </c>
      <c r="K425">
        <f t="shared" si="21"/>
        <v>53.418993247195942</v>
      </c>
    </row>
    <row r="426" spans="10:11" x14ac:dyDescent="0.3">
      <c r="J426">
        <v>41.299999999999898</v>
      </c>
      <c r="K426">
        <f t="shared" si="21"/>
        <v>53.419468407856812</v>
      </c>
    </row>
    <row r="427" spans="10:11" x14ac:dyDescent="0.3">
      <c r="J427">
        <v>41.399999999999899</v>
      </c>
      <c r="K427">
        <f t="shared" si="21"/>
        <v>53.419934846772804</v>
      </c>
    </row>
    <row r="428" spans="10:11" x14ac:dyDescent="0.3">
      <c r="J428">
        <v>41.499999999999901</v>
      </c>
      <c r="K428">
        <f t="shared" si="21"/>
        <v>53.420392724034684</v>
      </c>
    </row>
    <row r="429" spans="10:11" x14ac:dyDescent="0.3">
      <c r="J429">
        <v>41.599999999999902</v>
      </c>
      <c r="K429">
        <f t="shared" si="21"/>
        <v>53.420842196794695</v>
      </c>
    </row>
    <row r="430" spans="10:11" x14ac:dyDescent="0.3">
      <c r="J430">
        <v>41.699999999999903</v>
      </c>
      <c r="K430">
        <f t="shared" si="21"/>
        <v>53.421283419320488</v>
      </c>
    </row>
    <row r="431" spans="10:11" x14ac:dyDescent="0.3">
      <c r="J431">
        <v>41.799999999999898</v>
      </c>
      <c r="K431">
        <f t="shared" si="21"/>
        <v>53.421716543048085</v>
      </c>
    </row>
    <row r="432" spans="10:11" x14ac:dyDescent="0.3">
      <c r="J432">
        <v>41.899999999999899</v>
      </c>
      <c r="K432">
        <f t="shared" si="21"/>
        <v>53.422141716633838</v>
      </c>
    </row>
    <row r="433" spans="10:11" x14ac:dyDescent="0.3">
      <c r="J433">
        <v>41.999999999999901</v>
      </c>
      <c r="K433">
        <f t="shared" si="21"/>
        <v>53.422559086005464</v>
      </c>
    </row>
    <row r="434" spans="10:11" x14ac:dyDescent="0.3">
      <c r="J434">
        <v>42.099999999999902</v>
      </c>
      <c r="K434">
        <f t="shared" si="21"/>
        <v>53.422968794412121</v>
      </c>
    </row>
    <row r="435" spans="10:11" x14ac:dyDescent="0.3">
      <c r="J435">
        <v>42.199999999999903</v>
      </c>
      <c r="K435">
        <f t="shared" si="21"/>
        <v>53.423370982473571</v>
      </c>
    </row>
    <row r="436" spans="10:11" x14ac:dyDescent="0.3">
      <c r="J436">
        <v>42.299999999999898</v>
      </c>
      <c r="K436">
        <f t="shared" si="21"/>
        <v>53.423765788228458</v>
      </c>
    </row>
    <row r="437" spans="10:11" x14ac:dyDescent="0.3">
      <c r="J437">
        <v>42.399999999999899</v>
      </c>
      <c r="K437">
        <f t="shared" si="21"/>
        <v>53.424153347181679</v>
      </c>
    </row>
    <row r="438" spans="10:11" x14ac:dyDescent="0.3">
      <c r="J438">
        <v>42.499999999999901</v>
      </c>
      <c r="K438">
        <f t="shared" si="21"/>
        <v>53.424533792350886</v>
      </c>
    </row>
    <row r="439" spans="10:11" x14ac:dyDescent="0.3">
      <c r="J439">
        <v>42.599999999999902</v>
      </c>
      <c r="K439">
        <f t="shared" si="21"/>
        <v>53.424907254312139</v>
      </c>
    </row>
    <row r="440" spans="10:11" x14ac:dyDescent="0.3">
      <c r="J440">
        <v>42.699999999999903</v>
      </c>
      <c r="K440">
        <f t="shared" si="21"/>
        <v>53.425273861244733</v>
      </c>
    </row>
    <row r="441" spans="10:11" x14ac:dyDescent="0.3">
      <c r="J441">
        <v>42.799999999999898</v>
      </c>
      <c r="K441">
        <f t="shared" si="21"/>
        <v>53.425633738975186</v>
      </c>
    </row>
    <row r="442" spans="10:11" x14ac:dyDescent="0.3">
      <c r="J442">
        <v>42.899999999999899</v>
      </c>
      <c r="K442">
        <f t="shared" si="21"/>
        <v>53.425987011020432</v>
      </c>
    </row>
    <row r="443" spans="10:11" x14ac:dyDescent="0.3">
      <c r="J443">
        <v>42.999999999999901</v>
      </c>
      <c r="K443">
        <f t="shared" si="21"/>
        <v>53.426333798630189</v>
      </c>
    </row>
    <row r="444" spans="10:11" x14ac:dyDescent="0.3">
      <c r="J444">
        <v>43.099999999999902</v>
      </c>
      <c r="K444">
        <f t="shared" si="21"/>
        <v>53.426674220828609</v>
      </c>
    </row>
    <row r="445" spans="10:11" x14ac:dyDescent="0.3">
      <c r="J445">
        <v>43.199999999999903</v>
      </c>
      <c r="K445">
        <f t="shared" si="21"/>
        <v>53.4270083944551</v>
      </c>
    </row>
    <row r="446" spans="10:11" x14ac:dyDescent="0.3">
      <c r="J446">
        <v>43.299999999999898</v>
      </c>
      <c r="K446">
        <f t="shared" si="21"/>
        <v>53.427336434204456</v>
      </c>
    </row>
    <row r="447" spans="10:11" x14ac:dyDescent="0.3">
      <c r="J447">
        <v>43.399999999999899</v>
      </c>
      <c r="K447">
        <f t="shared" si="21"/>
        <v>53.427658452666194</v>
      </c>
    </row>
    <row r="448" spans="10:11" x14ac:dyDescent="0.3">
      <c r="J448">
        <v>43.499999999999901</v>
      </c>
      <c r="K448">
        <f t="shared" si="21"/>
        <v>53.427974560363218</v>
      </c>
    </row>
    <row r="449" spans="10:11" x14ac:dyDescent="0.3">
      <c r="J449">
        <v>43.599999999999902</v>
      </c>
      <c r="K449">
        <f t="shared" si="21"/>
        <v>53.428284865789735</v>
      </c>
    </row>
    <row r="450" spans="10:11" x14ac:dyDescent="0.3">
      <c r="J450">
        <v>43.699999999999903</v>
      </c>
      <c r="K450">
        <f t="shared" si="21"/>
        <v>53.428589475448511</v>
      </c>
    </row>
    <row r="451" spans="10:11" x14ac:dyDescent="0.3">
      <c r="J451">
        <v>43.799999999999898</v>
      </c>
      <c r="K451">
        <f t="shared" si="21"/>
        <v>53.428888493887413</v>
      </c>
    </row>
    <row r="452" spans="10:11" x14ac:dyDescent="0.3">
      <c r="J452">
        <v>43.899999999999899</v>
      </c>
      <c r="K452">
        <f t="shared" si="21"/>
        <v>53.429182023735294</v>
      </c>
    </row>
    <row r="453" spans="10:11" x14ac:dyDescent="0.3">
      <c r="J453">
        <v>43.999999999999901</v>
      </c>
      <c r="K453">
        <f t="shared" si="21"/>
        <v>53.429470165737214</v>
      </c>
    </row>
    <row r="454" spans="10:11" x14ac:dyDescent="0.3">
      <c r="J454">
        <v>44.099999999999902</v>
      </c>
      <c r="K454">
        <f t="shared" si="21"/>
        <v>53.429753018789029</v>
      </c>
    </row>
    <row r="455" spans="10:11" x14ac:dyDescent="0.3">
      <c r="J455">
        <v>44.199999999999903</v>
      </c>
      <c r="K455">
        <f t="shared" si="21"/>
        <v>53.430030679971317</v>
      </c>
    </row>
    <row r="456" spans="10:11" x14ac:dyDescent="0.3">
      <c r="J456">
        <v>44.299999999999898</v>
      </c>
      <c r="K456">
        <f t="shared" si="21"/>
        <v>53.43030324458271</v>
      </c>
    </row>
    <row r="457" spans="10:11" x14ac:dyDescent="0.3">
      <c r="J457">
        <v>44.399999999999899</v>
      </c>
      <c r="K457">
        <f t="shared" si="21"/>
        <v>53.430570806172604</v>
      </c>
    </row>
    <row r="458" spans="10:11" x14ac:dyDescent="0.3">
      <c r="J458">
        <v>44.499999999999901</v>
      </c>
      <c r="K458">
        <f t="shared" si="21"/>
        <v>53.430833456573254</v>
      </c>
    </row>
    <row r="459" spans="10:11" x14ac:dyDescent="0.3">
      <c r="J459">
        <v>44.599999999999902</v>
      </c>
      <c r="K459">
        <f t="shared" si="21"/>
        <v>53.431091285931309</v>
      </c>
    </row>
    <row r="460" spans="10:11" x14ac:dyDescent="0.3">
      <c r="J460">
        <v>44.699999999999903</v>
      </c>
      <c r="K460">
        <f t="shared" si="21"/>
        <v>53.431344382738736</v>
      </c>
    </row>
    <row r="461" spans="10:11" x14ac:dyDescent="0.3">
      <c r="J461">
        <v>44.799999999999898</v>
      </c>
      <c r="K461">
        <f t="shared" si="21"/>
        <v>53.431592833863206</v>
      </c>
    </row>
    <row r="462" spans="10:11" x14ac:dyDescent="0.3">
      <c r="J462">
        <v>44.899999999999899</v>
      </c>
      <c r="K462">
        <f t="shared" ref="K462:K513" si="22">K461+($C$8-($C$7/$C$6)*K461)*(J462-J461)</f>
        <v>53.431836724577906</v>
      </c>
    </row>
    <row r="463" spans="10:11" x14ac:dyDescent="0.3">
      <c r="J463">
        <v>44.999999999999901</v>
      </c>
      <c r="K463">
        <f t="shared" si="22"/>
        <v>53.432076138590794</v>
      </c>
    </row>
    <row r="464" spans="10:11" x14ac:dyDescent="0.3">
      <c r="J464">
        <v>45.099999999999902</v>
      </c>
      <c r="K464">
        <f t="shared" si="22"/>
        <v>53.43231115807334</v>
      </c>
    </row>
    <row r="465" spans="10:11" x14ac:dyDescent="0.3">
      <c r="J465">
        <v>45.199999999999903</v>
      </c>
      <c r="K465">
        <f t="shared" si="22"/>
        <v>53.432541863688733</v>
      </c>
    </row>
    <row r="466" spans="10:11" x14ac:dyDescent="0.3">
      <c r="J466">
        <v>45.299999999999898</v>
      </c>
      <c r="K466">
        <f t="shared" si="22"/>
        <v>53.43276833461956</v>
      </c>
    </row>
    <row r="467" spans="10:11" x14ac:dyDescent="0.3">
      <c r="J467">
        <v>45.399999999999899</v>
      </c>
      <c r="K467">
        <f t="shared" si="22"/>
        <v>53.432990648594973</v>
      </c>
    </row>
    <row r="468" spans="10:11" x14ac:dyDescent="0.3">
      <c r="J468">
        <v>45.499999999999901</v>
      </c>
      <c r="K468">
        <f t="shared" si="22"/>
        <v>53.433208881917388</v>
      </c>
    </row>
    <row r="469" spans="10:11" x14ac:dyDescent="0.3">
      <c r="J469">
        <v>45.599999999999902</v>
      </c>
      <c r="K469">
        <f t="shared" si="22"/>
        <v>53.433423109488658</v>
      </c>
    </row>
    <row r="470" spans="10:11" x14ac:dyDescent="0.3">
      <c r="J470">
        <v>45.699999999999903</v>
      </c>
      <c r="K470">
        <f t="shared" si="22"/>
        <v>53.433633404835781</v>
      </c>
    </row>
    <row r="471" spans="10:11" x14ac:dyDescent="0.3">
      <c r="J471">
        <v>45.799999999999798</v>
      </c>
      <c r="K471">
        <f t="shared" si="22"/>
        <v>53.433839840136152</v>
      </c>
    </row>
    <row r="472" spans="10:11" x14ac:dyDescent="0.3">
      <c r="J472">
        <v>45.899999999999899</v>
      </c>
      <c r="K472">
        <f t="shared" si="22"/>
        <v>53.434042486242319</v>
      </c>
    </row>
    <row r="473" spans="10:11" x14ac:dyDescent="0.3">
      <c r="J473">
        <v>45.999999999999901</v>
      </c>
      <c r="K473">
        <f t="shared" si="22"/>
        <v>53.434241412706299</v>
      </c>
    </row>
    <row r="474" spans="10:11" x14ac:dyDescent="0.3">
      <c r="J474">
        <v>46.099999999999902</v>
      </c>
      <c r="K474">
        <f t="shared" si="22"/>
        <v>53.434436687803469</v>
      </c>
    </row>
    <row r="475" spans="10:11" x14ac:dyDescent="0.3">
      <c r="J475">
        <v>46.199999999999903</v>
      </c>
      <c r="K475">
        <f t="shared" si="22"/>
        <v>53.434628378555978</v>
      </c>
    </row>
    <row r="476" spans="10:11" x14ac:dyDescent="0.3">
      <c r="J476">
        <v>46.299999999999798</v>
      </c>
      <c r="K476">
        <f t="shared" si="22"/>
        <v>53.434816550755755</v>
      </c>
    </row>
    <row r="477" spans="10:11" x14ac:dyDescent="0.3">
      <c r="J477">
        <v>46.399999999999899</v>
      </c>
      <c r="K477">
        <f t="shared" si="22"/>
        <v>53.435001268987108</v>
      </c>
    </row>
    <row r="478" spans="10:11" x14ac:dyDescent="0.3">
      <c r="J478">
        <v>46.499999999999901</v>
      </c>
      <c r="K478">
        <f t="shared" si="22"/>
        <v>53.435182596648872</v>
      </c>
    </row>
    <row r="479" spans="10:11" x14ac:dyDescent="0.3">
      <c r="J479">
        <v>46.599999999999802</v>
      </c>
      <c r="K479">
        <f t="shared" si="22"/>
        <v>53.435360595976171</v>
      </c>
    </row>
    <row r="480" spans="10:11" x14ac:dyDescent="0.3">
      <c r="J480">
        <v>46.699999999999797</v>
      </c>
      <c r="K480">
        <f t="shared" si="22"/>
        <v>53.435535328061775</v>
      </c>
    </row>
    <row r="481" spans="10:11" x14ac:dyDescent="0.3">
      <c r="J481">
        <v>46.799999999999798</v>
      </c>
      <c r="K481">
        <f t="shared" si="22"/>
        <v>53.43570685287709</v>
      </c>
    </row>
    <row r="482" spans="10:11" x14ac:dyDescent="0.3">
      <c r="J482">
        <v>46.899999999999899</v>
      </c>
      <c r="K482">
        <f t="shared" si="22"/>
        <v>53.435875229292705</v>
      </c>
    </row>
    <row r="483" spans="10:11" x14ac:dyDescent="0.3">
      <c r="J483">
        <v>46.999999999999901</v>
      </c>
      <c r="K483">
        <f t="shared" si="22"/>
        <v>53.43604051509864</v>
      </c>
    </row>
    <row r="484" spans="10:11" x14ac:dyDescent="0.3">
      <c r="J484">
        <v>47.099999999999802</v>
      </c>
      <c r="K484">
        <f t="shared" si="22"/>
        <v>53.436202767024142</v>
      </c>
    </row>
    <row r="485" spans="10:11" x14ac:dyDescent="0.3">
      <c r="J485">
        <v>47.199999999999797</v>
      </c>
      <c r="K485">
        <f t="shared" si="22"/>
        <v>53.436362040757182</v>
      </c>
    </row>
    <row r="486" spans="10:11" x14ac:dyDescent="0.3">
      <c r="J486">
        <v>47.299999999999798</v>
      </c>
      <c r="K486">
        <f t="shared" si="22"/>
        <v>53.436518390963549</v>
      </c>
    </row>
    <row r="487" spans="10:11" x14ac:dyDescent="0.3">
      <c r="J487">
        <v>47.3999999999998</v>
      </c>
      <c r="K487">
        <f t="shared" si="22"/>
        <v>53.436671871305627</v>
      </c>
    </row>
    <row r="488" spans="10:11" x14ac:dyDescent="0.3">
      <c r="J488">
        <v>47.499999999999801</v>
      </c>
      <c r="K488">
        <f t="shared" si="22"/>
        <v>53.436822534460809</v>
      </c>
    </row>
    <row r="489" spans="10:11" x14ac:dyDescent="0.3">
      <c r="J489">
        <v>47.599999999999802</v>
      </c>
      <c r="K489">
        <f t="shared" si="22"/>
        <v>53.436970432139574</v>
      </c>
    </row>
    <row r="490" spans="10:11" x14ac:dyDescent="0.3">
      <c r="J490">
        <v>47.699999999999797</v>
      </c>
      <c r="K490">
        <f t="shared" si="22"/>
        <v>53.437115615103238</v>
      </c>
    </row>
    <row r="491" spans="10:11" x14ac:dyDescent="0.3">
      <c r="J491">
        <v>47.799999999999798</v>
      </c>
      <c r="K491">
        <f t="shared" si="22"/>
        <v>53.437258133181373</v>
      </c>
    </row>
    <row r="492" spans="10:11" x14ac:dyDescent="0.3">
      <c r="J492">
        <v>47.8999999999998</v>
      </c>
      <c r="K492">
        <f t="shared" si="22"/>
        <v>53.437398035288908</v>
      </c>
    </row>
    <row r="493" spans="10:11" x14ac:dyDescent="0.3">
      <c r="J493">
        <v>47.999999999999801</v>
      </c>
      <c r="K493">
        <f t="shared" si="22"/>
        <v>53.437535369442926</v>
      </c>
    </row>
    <row r="494" spans="10:11" x14ac:dyDescent="0.3">
      <c r="J494">
        <v>48.099999999999802</v>
      </c>
      <c r="K494">
        <f t="shared" si="22"/>
        <v>53.437670182779144</v>
      </c>
    </row>
    <row r="495" spans="10:11" x14ac:dyDescent="0.3">
      <c r="J495">
        <v>48.199999999999797</v>
      </c>
      <c r="K495">
        <f t="shared" si="22"/>
        <v>53.437802521568074</v>
      </c>
    </row>
    <row r="496" spans="10:11" x14ac:dyDescent="0.3">
      <c r="J496">
        <v>48.299999999999798</v>
      </c>
      <c r="K496">
        <f t="shared" si="22"/>
        <v>53.437932431230919</v>
      </c>
    </row>
    <row r="497" spans="10:11" x14ac:dyDescent="0.3">
      <c r="J497">
        <v>48.3999999999998</v>
      </c>
      <c r="K497">
        <f t="shared" si="22"/>
        <v>53.438059956355168</v>
      </c>
    </row>
    <row r="498" spans="10:11" x14ac:dyDescent="0.3">
      <c r="J498">
        <v>48.499999999999801</v>
      </c>
      <c r="K498">
        <f t="shared" si="22"/>
        <v>53.438185140709884</v>
      </c>
    </row>
    <row r="499" spans="10:11" x14ac:dyDescent="0.3">
      <c r="J499">
        <v>48.599999999999802</v>
      </c>
      <c r="K499">
        <f t="shared" si="22"/>
        <v>53.438308027260732</v>
      </c>
    </row>
    <row r="500" spans="10:11" x14ac:dyDescent="0.3">
      <c r="J500">
        <v>48.699999999999797</v>
      </c>
      <c r="K500">
        <f t="shared" si="22"/>
        <v>53.438428658184726</v>
      </c>
    </row>
    <row r="501" spans="10:11" x14ac:dyDescent="0.3">
      <c r="J501">
        <v>48.799999999999798</v>
      </c>
      <c r="K501">
        <f t="shared" si="22"/>
        <v>53.43854707488471</v>
      </c>
    </row>
    <row r="502" spans="10:11" x14ac:dyDescent="0.3">
      <c r="J502">
        <v>48.8999999999998</v>
      </c>
      <c r="K502">
        <f t="shared" si="22"/>
        <v>53.438663318003563</v>
      </c>
    </row>
    <row r="503" spans="10:11" x14ac:dyDescent="0.3">
      <c r="J503">
        <v>48.999999999999801</v>
      </c>
      <c r="K503">
        <f t="shared" si="22"/>
        <v>53.438777427438154</v>
      </c>
    </row>
    <row r="504" spans="10:11" x14ac:dyDescent="0.3">
      <c r="J504">
        <v>49.099999999999802</v>
      </c>
      <c r="K504">
        <f t="shared" si="22"/>
        <v>53.438889442353016</v>
      </c>
    </row>
    <row r="505" spans="10:11" x14ac:dyDescent="0.3">
      <c r="J505">
        <v>49.199999999999797</v>
      </c>
      <c r="K505">
        <f t="shared" si="22"/>
        <v>53.438999401193819</v>
      </c>
    </row>
    <row r="506" spans="10:11" x14ac:dyDescent="0.3">
      <c r="J506">
        <v>49.299999999999798</v>
      </c>
      <c r="K506">
        <f t="shared" si="22"/>
        <v>53.439107341700542</v>
      </c>
    </row>
    <row r="507" spans="10:11" x14ac:dyDescent="0.3">
      <c r="J507">
        <v>49.3999999999998</v>
      </c>
      <c r="K507">
        <f t="shared" si="22"/>
        <v>53.439213300920429</v>
      </c>
    </row>
    <row r="508" spans="10:11" x14ac:dyDescent="0.3">
      <c r="J508">
        <v>49.499999999999801</v>
      </c>
      <c r="K508">
        <f t="shared" si="22"/>
        <v>53.439317315220713</v>
      </c>
    </row>
    <row r="509" spans="10:11" x14ac:dyDescent="0.3">
      <c r="J509">
        <v>49.599999999999802</v>
      </c>
      <c r="K509">
        <f t="shared" si="22"/>
        <v>53.439419420301093</v>
      </c>
    </row>
    <row r="510" spans="10:11" x14ac:dyDescent="0.3">
      <c r="J510">
        <v>49.699999999999797</v>
      </c>
      <c r="K510">
        <f t="shared" si="22"/>
        <v>53.439519651205991</v>
      </c>
    </row>
    <row r="511" spans="10:11" x14ac:dyDescent="0.3">
      <c r="J511">
        <v>49.799999999999798</v>
      </c>
      <c r="K511">
        <f t="shared" si="22"/>
        <v>53.439618042336569</v>
      </c>
    </row>
    <row r="512" spans="10:11" x14ac:dyDescent="0.3">
      <c r="J512">
        <v>49.8999999999998</v>
      </c>
      <c r="K512">
        <f t="shared" si="22"/>
        <v>53.43971462746255</v>
      </c>
    </row>
    <row r="513" spans="10:11" x14ac:dyDescent="0.3">
      <c r="J513">
        <v>49.999999999999801</v>
      </c>
      <c r="K513">
        <f t="shared" si="22"/>
        <v>53.439809439733793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Cronin</dc:creator>
  <cp:lastModifiedBy>Duane Cronin</cp:lastModifiedBy>
  <dcterms:created xsi:type="dcterms:W3CDTF">2021-07-08T22:45:45Z</dcterms:created>
  <dcterms:modified xsi:type="dcterms:W3CDTF">2026-05-12T01:14:18Z</dcterms:modified>
</cp:coreProperties>
</file>