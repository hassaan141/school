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_documents\Course\MTE_204\Spring_2026\notes\"/>
    </mc:Choice>
  </mc:AlternateContent>
  <xr:revisionPtr revIDLastSave="0" documentId="13_ncr:1_{34F57976-2FA2-45C2-BCAF-8EC774286682}" xr6:coauthVersionLast="47" xr6:coauthVersionMax="47" xr10:uidLastSave="{00000000-0000-0000-0000-000000000000}"/>
  <bookViews>
    <workbookView xWindow="648" yWindow="732" windowWidth="22140" windowHeight="14796" xr2:uid="{00000000-000D-0000-FFFF-FFFF00000000}"/>
  </bookViews>
  <sheets>
    <sheet name="Gauss-Seidel Example" sheetId="1" r:id="rId1"/>
    <sheet name="Gauss-Seidel w Pivoting Ex" sheetId="3" r:id="rId2"/>
    <sheet name="Gauss-Seidel w Pivoting Ex 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3" i="1" l="1"/>
  <c r="G93" i="1"/>
  <c r="E93" i="1" s="1"/>
  <c r="F93" i="1"/>
  <c r="H92" i="1"/>
  <c r="G92" i="1"/>
  <c r="F92" i="1"/>
  <c r="E92" i="1" s="1"/>
  <c r="H91" i="1"/>
  <c r="G91" i="1"/>
  <c r="F91" i="1"/>
  <c r="E91" i="1" s="1"/>
  <c r="H90" i="1"/>
  <c r="G90" i="1"/>
  <c r="E90" i="1" s="1"/>
  <c r="F90" i="1"/>
  <c r="H89" i="1"/>
  <c r="G89" i="1"/>
  <c r="F89" i="1"/>
  <c r="E89" i="1"/>
  <c r="H88" i="1"/>
  <c r="G88" i="1"/>
  <c r="F88" i="1"/>
  <c r="E88" i="1" s="1"/>
  <c r="H87" i="1"/>
  <c r="G87" i="1"/>
  <c r="F87" i="1"/>
  <c r="E87" i="1"/>
  <c r="H86" i="1"/>
  <c r="G86" i="1"/>
  <c r="F86" i="1"/>
  <c r="E86" i="1" s="1"/>
  <c r="H85" i="1"/>
  <c r="G85" i="1"/>
  <c r="F85" i="1"/>
  <c r="E85" i="1" s="1"/>
  <c r="H84" i="1"/>
  <c r="G84" i="1"/>
  <c r="F84" i="1"/>
  <c r="E84" i="1"/>
  <c r="H83" i="1"/>
  <c r="G83" i="1"/>
  <c r="F83" i="1"/>
  <c r="E83" i="1"/>
  <c r="H82" i="1"/>
  <c r="G82" i="1"/>
  <c r="F82" i="1"/>
  <c r="E82" i="1"/>
  <c r="H81" i="1"/>
  <c r="G81" i="1"/>
  <c r="F81" i="1"/>
  <c r="E81" i="1" s="1"/>
  <c r="H80" i="1"/>
  <c r="G80" i="1"/>
  <c r="F80" i="1"/>
  <c r="E80" i="1" s="1"/>
  <c r="H79" i="1"/>
  <c r="G79" i="1"/>
  <c r="F79" i="1"/>
  <c r="E79" i="1" s="1"/>
  <c r="H78" i="1"/>
  <c r="G78" i="1"/>
  <c r="F78" i="1"/>
  <c r="E78" i="1"/>
  <c r="H77" i="1"/>
  <c r="G77" i="1"/>
  <c r="F77" i="1"/>
  <c r="E77" i="1"/>
  <c r="H76" i="1"/>
  <c r="G76" i="1"/>
  <c r="F76" i="1"/>
  <c r="E76" i="1"/>
  <c r="H75" i="1"/>
  <c r="G75" i="1"/>
  <c r="F75" i="1"/>
  <c r="E75" i="1"/>
  <c r="H74" i="1"/>
  <c r="G74" i="1"/>
  <c r="F74" i="1"/>
  <c r="E74" i="1" s="1"/>
  <c r="H73" i="1"/>
  <c r="G73" i="1"/>
  <c r="F73" i="1"/>
  <c r="E73" i="1" s="1"/>
  <c r="H72" i="1"/>
  <c r="G72" i="1"/>
  <c r="F72" i="1"/>
  <c r="E72" i="1"/>
  <c r="H71" i="1"/>
  <c r="G71" i="1"/>
  <c r="F71" i="1"/>
  <c r="E71" i="1"/>
  <c r="H70" i="1"/>
  <c r="G70" i="1"/>
  <c r="F70" i="1"/>
  <c r="E70" i="1"/>
  <c r="H69" i="1"/>
  <c r="G69" i="1"/>
  <c r="F69" i="1"/>
  <c r="E69" i="1"/>
  <c r="H68" i="1"/>
  <c r="G68" i="1"/>
  <c r="F68" i="1"/>
  <c r="E68" i="1" s="1"/>
  <c r="H67" i="1"/>
  <c r="G67" i="1"/>
  <c r="F67" i="1"/>
  <c r="E67" i="1" s="1"/>
  <c r="H66" i="1"/>
  <c r="G66" i="1"/>
  <c r="F66" i="1"/>
  <c r="E66" i="1"/>
  <c r="H65" i="1"/>
  <c r="G65" i="1"/>
  <c r="F65" i="1"/>
  <c r="E65" i="1" s="1"/>
  <c r="H64" i="1"/>
  <c r="G64" i="1"/>
  <c r="F64" i="1"/>
  <c r="E64" i="1"/>
  <c r="H63" i="1"/>
  <c r="G63" i="1"/>
  <c r="F63" i="1"/>
  <c r="E63" i="1"/>
  <c r="H62" i="1"/>
  <c r="G62" i="1"/>
  <c r="F62" i="1"/>
  <c r="E62" i="1" s="1"/>
  <c r="H61" i="1"/>
  <c r="G61" i="1"/>
  <c r="F61" i="1"/>
  <c r="E61" i="1" s="1"/>
  <c r="H60" i="1"/>
  <c r="G60" i="1"/>
  <c r="F60" i="1"/>
  <c r="E60" i="1"/>
  <c r="H59" i="1"/>
  <c r="G59" i="1"/>
  <c r="F59" i="1"/>
  <c r="E59" i="1"/>
  <c r="H58" i="1"/>
  <c r="G58" i="1"/>
  <c r="F58" i="1"/>
  <c r="E58" i="1"/>
  <c r="H57" i="1"/>
  <c r="G57" i="1"/>
  <c r="F57" i="1"/>
  <c r="E57" i="1"/>
  <c r="H56" i="1"/>
  <c r="G56" i="1"/>
  <c r="F56" i="1"/>
  <c r="E56" i="1" s="1"/>
  <c r="H55" i="1"/>
  <c r="G55" i="1"/>
  <c r="F55" i="1"/>
  <c r="E55" i="1" s="1"/>
  <c r="H54" i="1"/>
  <c r="G54" i="1"/>
  <c r="F54" i="1"/>
  <c r="E54" i="1"/>
  <c r="H53" i="1"/>
  <c r="G53" i="1"/>
  <c r="F53" i="1"/>
  <c r="E53" i="1"/>
  <c r="H52" i="1"/>
  <c r="G52" i="1"/>
  <c r="F52" i="1"/>
  <c r="E52" i="1"/>
  <c r="H51" i="1"/>
  <c r="G51" i="1"/>
  <c r="F51" i="1"/>
  <c r="E51" i="1"/>
  <c r="H50" i="1"/>
  <c r="G50" i="1"/>
  <c r="F50" i="1"/>
  <c r="E50" i="1" s="1"/>
  <c r="H49" i="1"/>
  <c r="G49" i="1"/>
  <c r="F49" i="1"/>
  <c r="E49" i="1" s="1"/>
  <c r="H48" i="1"/>
  <c r="G48" i="1"/>
  <c r="F48" i="1"/>
  <c r="E48" i="1"/>
  <c r="H47" i="1"/>
  <c r="G47" i="1"/>
  <c r="F47" i="1"/>
  <c r="E47" i="1"/>
  <c r="H46" i="1"/>
  <c r="G46" i="1"/>
  <c r="F46" i="1"/>
  <c r="E46" i="1"/>
  <c r="H45" i="1"/>
  <c r="G45" i="1"/>
  <c r="F45" i="1"/>
  <c r="E45" i="1"/>
  <c r="H44" i="1"/>
  <c r="G44" i="1"/>
  <c r="F44" i="1"/>
  <c r="E44" i="1" s="1"/>
  <c r="H43" i="1"/>
  <c r="G43" i="1"/>
  <c r="F43" i="1"/>
  <c r="E43" i="1" s="1"/>
  <c r="H42" i="1"/>
  <c r="G42" i="1"/>
  <c r="F42" i="1"/>
  <c r="E42" i="1"/>
  <c r="H41" i="1"/>
  <c r="G41" i="1"/>
  <c r="F41" i="1"/>
  <c r="E41" i="1"/>
  <c r="H40" i="1"/>
  <c r="G40" i="1"/>
  <c r="F40" i="1"/>
  <c r="E40" i="1"/>
  <c r="H39" i="1"/>
  <c r="G39" i="1"/>
  <c r="F39" i="1"/>
  <c r="E39" i="1"/>
  <c r="H38" i="1"/>
  <c r="G38" i="1"/>
  <c r="F38" i="1"/>
  <c r="E38" i="1" s="1"/>
  <c r="H37" i="1"/>
  <c r="G37" i="1"/>
  <c r="F37" i="1"/>
  <c r="E37" i="1" s="1"/>
  <c r="H36" i="1"/>
  <c r="G36" i="1"/>
  <c r="F36" i="1"/>
  <c r="E36" i="1"/>
  <c r="H35" i="1"/>
  <c r="G35" i="1"/>
  <c r="E35" i="1" s="1"/>
  <c r="F35" i="1"/>
  <c r="H34" i="1"/>
  <c r="G34" i="1"/>
  <c r="F34" i="1"/>
  <c r="E34" i="1"/>
  <c r="H33" i="1"/>
  <c r="G33" i="1"/>
  <c r="F33" i="1"/>
  <c r="E33" i="1"/>
  <c r="H32" i="1"/>
  <c r="G32" i="1"/>
  <c r="F32" i="1"/>
  <c r="E32" i="1" s="1"/>
  <c r="H31" i="1"/>
  <c r="G31" i="1"/>
  <c r="F31" i="1"/>
  <c r="E31" i="1" s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 s="1"/>
  <c r="H25" i="1"/>
  <c r="G25" i="1"/>
  <c r="F25" i="1"/>
  <c r="E25" i="1" s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 s="1"/>
  <c r="H19" i="1"/>
  <c r="G19" i="1"/>
  <c r="F19" i="1"/>
  <c r="E19" i="1" s="1"/>
  <c r="H18" i="1"/>
  <c r="G18" i="1"/>
  <c r="F18" i="1"/>
  <c r="E18" i="1"/>
  <c r="H17" i="1"/>
  <c r="G17" i="1"/>
  <c r="F17" i="1"/>
  <c r="E17" i="1"/>
  <c r="H16" i="1"/>
  <c r="G16" i="1"/>
  <c r="F16" i="1"/>
  <c r="E16" i="1"/>
  <c r="H15" i="1"/>
  <c r="G15" i="1"/>
  <c r="F15" i="1"/>
  <c r="E15" i="1"/>
  <c r="H14" i="1"/>
  <c r="G14" i="1"/>
  <c r="F14" i="1"/>
  <c r="E14" i="1" s="1"/>
  <c r="H13" i="1"/>
  <c r="G13" i="1"/>
  <c r="F13" i="1"/>
  <c r="E13" i="1" s="1"/>
  <c r="E12" i="1"/>
  <c r="K10" i="4" l="1"/>
  <c r="K9" i="4"/>
  <c r="K8" i="4"/>
  <c r="B15" i="4"/>
  <c r="B13" i="3"/>
  <c r="C13" i="3" s="1"/>
  <c r="D13" i="3" s="1"/>
  <c r="C15" i="4" l="1"/>
  <c r="F15" i="4"/>
  <c r="B14" i="3"/>
  <c r="F13" i="3"/>
  <c r="H13" i="3"/>
  <c r="L13" i="3" s="1"/>
  <c r="B12" i="1"/>
  <c r="F12" i="1" l="1"/>
  <c r="K12" i="1"/>
  <c r="C12" i="1"/>
  <c r="J13" i="3"/>
  <c r="J15" i="4"/>
  <c r="D15" i="4"/>
  <c r="B16" i="4" s="1"/>
  <c r="G15" i="4"/>
  <c r="K15" i="4" s="1"/>
  <c r="H15" i="4"/>
  <c r="L15" i="4" s="1"/>
  <c r="C14" i="3"/>
  <c r="D14" i="3" s="1"/>
  <c r="G13" i="3"/>
  <c r="K13" i="3" s="1"/>
  <c r="G12" i="1" l="1"/>
  <c r="L12" i="1"/>
  <c r="J12" i="1" s="1"/>
  <c r="E15" i="4"/>
  <c r="E13" i="3"/>
  <c r="D12" i="1"/>
  <c r="M12" i="1" s="1"/>
  <c r="C16" i="4"/>
  <c r="D16" i="4" s="1"/>
  <c r="F16" i="4"/>
  <c r="B15" i="3"/>
  <c r="H14" i="3"/>
  <c r="L14" i="3" s="1"/>
  <c r="F14" i="3"/>
  <c r="J16" i="4" l="1"/>
  <c r="J14" i="3"/>
  <c r="H12" i="1"/>
  <c r="B13" i="1"/>
  <c r="B17" i="4"/>
  <c r="G16" i="4"/>
  <c r="K16" i="4" s="1"/>
  <c r="C15" i="3"/>
  <c r="D15" i="3" s="1"/>
  <c r="G14" i="3"/>
  <c r="K14" i="3" s="1"/>
  <c r="E14" i="3" l="1"/>
  <c r="K13" i="1"/>
  <c r="C13" i="1"/>
  <c r="C17" i="4"/>
  <c r="D17" i="4" s="1"/>
  <c r="H16" i="4"/>
  <c r="L16" i="4" s="1"/>
  <c r="B16" i="3"/>
  <c r="F15" i="3"/>
  <c r="H15" i="3"/>
  <c r="L15" i="3" s="1"/>
  <c r="L13" i="1" l="1"/>
  <c r="D13" i="1"/>
  <c r="E16" i="4"/>
  <c r="J15" i="3"/>
  <c r="B18" i="4"/>
  <c r="F17" i="4"/>
  <c r="C16" i="3"/>
  <c r="G15" i="3"/>
  <c r="K15" i="3" s="1"/>
  <c r="B14" i="1" l="1"/>
  <c r="M13" i="1"/>
  <c r="J13" i="1" s="1"/>
  <c r="J17" i="4"/>
  <c r="E15" i="3"/>
  <c r="C18" i="4"/>
  <c r="D16" i="3"/>
  <c r="B17" i="3" s="1"/>
  <c r="F16" i="3"/>
  <c r="J16" i="3" l="1"/>
  <c r="K14" i="1"/>
  <c r="C14" i="1"/>
  <c r="L14" i="1" s="1"/>
  <c r="D18" i="4"/>
  <c r="B19" i="4" s="1"/>
  <c r="G17" i="4"/>
  <c r="H17" i="4"/>
  <c r="L17" i="4" s="1"/>
  <c r="C17" i="3"/>
  <c r="D17" i="3"/>
  <c r="G16" i="3"/>
  <c r="K16" i="3" s="1"/>
  <c r="H16" i="3"/>
  <c r="L16" i="3" s="1"/>
  <c r="D14" i="1" l="1"/>
  <c r="B15" i="1" s="1"/>
  <c r="K17" i="4"/>
  <c r="E17" i="4"/>
  <c r="M14" i="1"/>
  <c r="J14" i="1" s="1"/>
  <c r="E16" i="3"/>
  <c r="C19" i="4"/>
  <c r="D19" i="4"/>
  <c r="B18" i="3"/>
  <c r="F17" i="3"/>
  <c r="J17" i="3" l="1"/>
  <c r="K15" i="1"/>
  <c r="C15" i="1"/>
  <c r="L15" i="1" s="1"/>
  <c r="B20" i="4"/>
  <c r="H18" i="4"/>
  <c r="L18" i="4" s="1"/>
  <c r="F18" i="4"/>
  <c r="C18" i="3"/>
  <c r="D18" i="3" s="1"/>
  <c r="G17" i="3"/>
  <c r="K17" i="3" s="1"/>
  <c r="D15" i="1" l="1"/>
  <c r="B16" i="1" s="1"/>
  <c r="J18" i="4"/>
  <c r="C20" i="4"/>
  <c r="G18" i="4"/>
  <c r="K18" i="4" s="1"/>
  <c r="B19" i="3"/>
  <c r="H17" i="3"/>
  <c r="L17" i="3" s="1"/>
  <c r="M15" i="1" l="1"/>
  <c r="J15" i="1" s="1"/>
  <c r="K16" i="1"/>
  <c r="C16" i="1"/>
  <c r="L16" i="1" s="1"/>
  <c r="E18" i="4"/>
  <c r="E17" i="3"/>
  <c r="D20" i="4"/>
  <c r="B21" i="4" s="1"/>
  <c r="F19" i="4"/>
  <c r="C19" i="3"/>
  <c r="J19" i="4" l="1"/>
  <c r="D16" i="1"/>
  <c r="C21" i="4"/>
  <c r="G19" i="4"/>
  <c r="K19" i="4" s="1"/>
  <c r="H19" i="4"/>
  <c r="L19" i="4" s="1"/>
  <c r="D19" i="3"/>
  <c r="B20" i="3" s="1"/>
  <c r="F18" i="3"/>
  <c r="B17" i="1" l="1"/>
  <c r="M16" i="1"/>
  <c r="J16" i="1" s="1"/>
  <c r="J18" i="3"/>
  <c r="E19" i="4"/>
  <c r="D21" i="4"/>
  <c r="B22" i="4" s="1"/>
  <c r="C20" i="3"/>
  <c r="H18" i="3"/>
  <c r="L18" i="3" s="1"/>
  <c r="G18" i="3"/>
  <c r="K18" i="3" s="1"/>
  <c r="E18" i="3" l="1"/>
  <c r="K17" i="1"/>
  <c r="C17" i="1"/>
  <c r="L17" i="1" s="1"/>
  <c r="D17" i="1"/>
  <c r="C22" i="4"/>
  <c r="H20" i="4"/>
  <c r="L20" i="4" s="1"/>
  <c r="F20" i="4"/>
  <c r="D20" i="3"/>
  <c r="B21" i="3" s="1"/>
  <c r="F19" i="3"/>
  <c r="G19" i="3"/>
  <c r="K19" i="3" s="1"/>
  <c r="J19" i="3" l="1"/>
  <c r="J20" i="4"/>
  <c r="B18" i="1"/>
  <c r="M17" i="1"/>
  <c r="J17" i="1" s="1"/>
  <c r="D22" i="4"/>
  <c r="B23" i="4" s="1"/>
  <c r="G20" i="4"/>
  <c r="K20" i="4" s="1"/>
  <c r="C21" i="3"/>
  <c r="H19" i="3"/>
  <c r="L19" i="3" s="1"/>
  <c r="E19" i="3" l="1"/>
  <c r="K18" i="1"/>
  <c r="C18" i="1"/>
  <c r="D18" i="1"/>
  <c r="M18" i="1" s="1"/>
  <c r="E20" i="4"/>
  <c r="C23" i="4"/>
  <c r="H21" i="4"/>
  <c r="L21" i="4" s="1"/>
  <c r="F21" i="4"/>
  <c r="D21" i="3"/>
  <c r="B22" i="3" s="1"/>
  <c r="F20" i="3"/>
  <c r="G20" i="3"/>
  <c r="K20" i="3" s="1"/>
  <c r="J21" i="4" l="1"/>
  <c r="J20" i="3"/>
  <c r="L18" i="1"/>
  <c r="J18" i="1" s="1"/>
  <c r="B19" i="1"/>
  <c r="D23" i="4"/>
  <c r="B24" i="4" s="1"/>
  <c r="G21" i="4"/>
  <c r="K21" i="4" s="1"/>
  <c r="C22" i="3"/>
  <c r="H20" i="3"/>
  <c r="L20" i="3" s="1"/>
  <c r="E21" i="4" l="1"/>
  <c r="K19" i="1"/>
  <c r="C19" i="1"/>
  <c r="L19" i="1" s="1"/>
  <c r="D19" i="1"/>
  <c r="E20" i="3"/>
  <c r="C24" i="4"/>
  <c r="D24" i="4"/>
  <c r="F22" i="4"/>
  <c r="D22" i="3"/>
  <c r="B23" i="3" s="1"/>
  <c r="J22" i="4" l="1"/>
  <c r="B20" i="1"/>
  <c r="M19" i="1"/>
  <c r="J19" i="1"/>
  <c r="B25" i="4"/>
  <c r="G22" i="4"/>
  <c r="K22" i="4" s="1"/>
  <c r="H22" i="4"/>
  <c r="L22" i="4" s="1"/>
  <c r="C23" i="3"/>
  <c r="F21" i="3"/>
  <c r="E22" i="4" l="1"/>
  <c r="J21" i="3"/>
  <c r="K20" i="1"/>
  <c r="C20" i="1"/>
  <c r="L20" i="1" s="1"/>
  <c r="C25" i="4"/>
  <c r="D23" i="3"/>
  <c r="B24" i="3" s="1"/>
  <c r="G21" i="3"/>
  <c r="K21" i="3" s="1"/>
  <c r="D20" i="1" l="1"/>
  <c r="D25" i="4"/>
  <c r="B26" i="4" s="1"/>
  <c r="F23" i="4"/>
  <c r="C24" i="3"/>
  <c r="H21" i="3"/>
  <c r="L21" i="3" s="1"/>
  <c r="J23" i="4" l="1"/>
  <c r="E21" i="3"/>
  <c r="B21" i="1"/>
  <c r="M20" i="1"/>
  <c r="J20" i="1" s="1"/>
  <c r="C26" i="4"/>
  <c r="G23" i="4"/>
  <c r="K23" i="4" s="1"/>
  <c r="H23" i="4"/>
  <c r="L23" i="4" s="1"/>
  <c r="D24" i="3"/>
  <c r="B25" i="3" s="1"/>
  <c r="F22" i="3"/>
  <c r="J22" i="3" l="1"/>
  <c r="K21" i="1"/>
  <c r="C21" i="1"/>
  <c r="L21" i="1" s="1"/>
  <c r="D21" i="1"/>
  <c r="E23" i="4"/>
  <c r="D26" i="4"/>
  <c r="B27" i="4" s="1"/>
  <c r="C25" i="3"/>
  <c r="H22" i="3"/>
  <c r="L22" i="3" s="1"/>
  <c r="G22" i="3"/>
  <c r="K22" i="3" s="1"/>
  <c r="B22" i="1" l="1"/>
  <c r="M21" i="1"/>
  <c r="J21" i="1" s="1"/>
  <c r="E22" i="3"/>
  <c r="C27" i="4"/>
  <c r="D27" i="4"/>
  <c r="H24" i="4"/>
  <c r="L24" i="4" s="1"/>
  <c r="F24" i="4"/>
  <c r="D25" i="3"/>
  <c r="B26" i="3" s="1"/>
  <c r="F23" i="3"/>
  <c r="J24" i="4" l="1"/>
  <c r="J23" i="3"/>
  <c r="K22" i="1"/>
  <c r="C22" i="1"/>
  <c r="B28" i="4"/>
  <c r="G24" i="4"/>
  <c r="K24" i="4" s="1"/>
  <c r="F25" i="4"/>
  <c r="C26" i="3"/>
  <c r="H23" i="3"/>
  <c r="L23" i="3" s="1"/>
  <c r="G23" i="3"/>
  <c r="K23" i="3" s="1"/>
  <c r="L22" i="1" l="1"/>
  <c r="E24" i="4"/>
  <c r="J25" i="4"/>
  <c r="D22" i="1"/>
  <c r="M22" i="1" s="1"/>
  <c r="J22" i="1" s="1"/>
  <c r="E23" i="3"/>
  <c r="C28" i="4"/>
  <c r="H25" i="4"/>
  <c r="L25" i="4" s="1"/>
  <c r="D26" i="3"/>
  <c r="B27" i="3" s="1"/>
  <c r="F24" i="3"/>
  <c r="B23" i="1" l="1"/>
  <c r="J24" i="3"/>
  <c r="D28" i="4"/>
  <c r="B29" i="4" s="1"/>
  <c r="G25" i="4"/>
  <c r="C27" i="3"/>
  <c r="D27" i="3"/>
  <c r="G24" i="3"/>
  <c r="K24" i="3" s="1"/>
  <c r="K25" i="4" l="1"/>
  <c r="E25" i="4"/>
  <c r="K23" i="1"/>
  <c r="C23" i="1"/>
  <c r="L23" i="1" s="1"/>
  <c r="C29" i="4"/>
  <c r="D29" i="4"/>
  <c r="F26" i="4"/>
  <c r="B28" i="3"/>
  <c r="H24" i="3"/>
  <c r="L24" i="3" s="1"/>
  <c r="J26" i="4" l="1"/>
  <c r="D23" i="1"/>
  <c r="E24" i="3"/>
  <c r="B30" i="4"/>
  <c r="G26" i="4"/>
  <c r="K26" i="4" s="1"/>
  <c r="H26" i="4"/>
  <c r="L26" i="4" s="1"/>
  <c r="C28" i="3"/>
  <c r="F25" i="3"/>
  <c r="J25" i="3" l="1"/>
  <c r="E26" i="4"/>
  <c r="B24" i="1"/>
  <c r="M23" i="1"/>
  <c r="J23" i="1" s="1"/>
  <c r="C30" i="4"/>
  <c r="D28" i="3"/>
  <c r="B29" i="3" s="1"/>
  <c r="H25" i="3"/>
  <c r="L25" i="3" s="1"/>
  <c r="G25" i="3"/>
  <c r="K25" i="3" s="1"/>
  <c r="K24" i="1" l="1"/>
  <c r="C24" i="1"/>
  <c r="L24" i="1" s="1"/>
  <c r="E25" i="3"/>
  <c r="D30" i="4"/>
  <c r="B31" i="4" s="1"/>
  <c r="F27" i="4"/>
  <c r="C29" i="3"/>
  <c r="F26" i="3"/>
  <c r="J26" i="3" l="1"/>
  <c r="J27" i="4"/>
  <c r="D24" i="1"/>
  <c r="C31" i="4"/>
  <c r="H27" i="4"/>
  <c r="L27" i="4" s="1"/>
  <c r="G27" i="4"/>
  <c r="K27" i="4" s="1"/>
  <c r="D29" i="3"/>
  <c r="B30" i="3" s="1"/>
  <c r="G26" i="3"/>
  <c r="K26" i="3" s="1"/>
  <c r="B25" i="1" l="1"/>
  <c r="M24" i="1"/>
  <c r="J24" i="1" s="1"/>
  <c r="E27" i="4"/>
  <c r="D31" i="4"/>
  <c r="B32" i="4" s="1"/>
  <c r="F28" i="4"/>
  <c r="C30" i="3"/>
  <c r="D30" i="3"/>
  <c r="H26" i="3"/>
  <c r="L26" i="3" s="1"/>
  <c r="K25" i="1" l="1"/>
  <c r="C25" i="1"/>
  <c r="L25" i="1" s="1"/>
  <c r="D25" i="1"/>
  <c r="J28" i="4"/>
  <c r="E26" i="3"/>
  <c r="C32" i="4"/>
  <c r="H28" i="4"/>
  <c r="L28" i="4" s="1"/>
  <c r="G28" i="4"/>
  <c r="K28" i="4" s="1"/>
  <c r="B31" i="3"/>
  <c r="F27" i="3"/>
  <c r="J27" i="3" l="1"/>
  <c r="E28" i="4"/>
  <c r="B26" i="1"/>
  <c r="M25" i="1"/>
  <c r="J25" i="1" s="1"/>
  <c r="D32" i="4"/>
  <c r="B33" i="4" s="1"/>
  <c r="F29" i="4"/>
  <c r="C31" i="3"/>
  <c r="H27" i="3"/>
  <c r="L27" i="3" s="1"/>
  <c r="G27" i="3"/>
  <c r="K27" i="3" s="1"/>
  <c r="E27" i="3" l="1"/>
  <c r="J29" i="4"/>
  <c r="K26" i="1"/>
  <c r="C26" i="1"/>
  <c r="L26" i="1" s="1"/>
  <c r="C33" i="4"/>
  <c r="G29" i="4"/>
  <c r="K29" i="4" s="1"/>
  <c r="H29" i="4"/>
  <c r="L29" i="4" s="1"/>
  <c r="D31" i="3"/>
  <c r="B32" i="3" s="1"/>
  <c r="F28" i="3"/>
  <c r="D26" i="1" l="1"/>
  <c r="J28" i="3"/>
  <c r="B27" i="1"/>
  <c r="M26" i="1"/>
  <c r="E29" i="4"/>
  <c r="J26" i="1"/>
  <c r="D33" i="4"/>
  <c r="B34" i="4" s="1"/>
  <c r="C32" i="3"/>
  <c r="G28" i="3"/>
  <c r="K28" i="3" s="1"/>
  <c r="K27" i="1" l="1"/>
  <c r="C27" i="1"/>
  <c r="L27" i="1" s="1"/>
  <c r="D27" i="1"/>
  <c r="C34" i="4"/>
  <c r="F30" i="4"/>
  <c r="H30" i="4"/>
  <c r="L30" i="4" s="1"/>
  <c r="D32" i="3"/>
  <c r="B33" i="3" s="1"/>
  <c r="H28" i="3"/>
  <c r="L28" i="3" s="1"/>
  <c r="J30" i="4" l="1"/>
  <c r="B28" i="1"/>
  <c r="M27" i="1"/>
  <c r="J27" i="1" s="1"/>
  <c r="E28" i="3"/>
  <c r="D34" i="4"/>
  <c r="B35" i="4" s="1"/>
  <c r="G30" i="4"/>
  <c r="K30" i="4" s="1"/>
  <c r="C33" i="3"/>
  <c r="F29" i="3"/>
  <c r="J29" i="3" l="1"/>
  <c r="K28" i="1"/>
  <c r="C28" i="1"/>
  <c r="L28" i="1" s="1"/>
  <c r="E30" i="4"/>
  <c r="C35" i="4"/>
  <c r="F31" i="4"/>
  <c r="H31" i="4"/>
  <c r="L31" i="4" s="1"/>
  <c r="D33" i="3"/>
  <c r="B34" i="3" s="1"/>
  <c r="G29" i="3"/>
  <c r="K29" i="3" s="1"/>
  <c r="D28" i="1" l="1"/>
  <c r="J31" i="4"/>
  <c r="B29" i="1"/>
  <c r="M28" i="1"/>
  <c r="J28" i="1" s="1"/>
  <c r="D35" i="4"/>
  <c r="B36" i="4" s="1"/>
  <c r="G31" i="4"/>
  <c r="K31" i="4" s="1"/>
  <c r="C34" i="3"/>
  <c r="H29" i="3"/>
  <c r="L29" i="3" s="1"/>
  <c r="E29" i="3" l="1"/>
  <c r="K29" i="1"/>
  <c r="C29" i="1"/>
  <c r="L29" i="1" s="1"/>
  <c r="D29" i="1"/>
  <c r="E31" i="4"/>
  <c r="C36" i="4"/>
  <c r="F32" i="4"/>
  <c r="D34" i="3"/>
  <c r="B35" i="3" s="1"/>
  <c r="G30" i="3"/>
  <c r="K30" i="3" s="1"/>
  <c r="F30" i="3"/>
  <c r="J32" i="4" l="1"/>
  <c r="J30" i="3"/>
  <c r="B30" i="1"/>
  <c r="M29" i="1"/>
  <c r="J29" i="1" s="1"/>
  <c r="D36" i="4"/>
  <c r="B37" i="4" s="1"/>
  <c r="G32" i="4"/>
  <c r="K32" i="4" s="1"/>
  <c r="C35" i="3"/>
  <c r="D35" i="3"/>
  <c r="K30" i="1" l="1"/>
  <c r="C30" i="1"/>
  <c r="D30" i="1" s="1"/>
  <c r="M30" i="1" s="1"/>
  <c r="C37" i="4"/>
  <c r="D37" i="4" s="1"/>
  <c r="H32" i="4"/>
  <c r="L32" i="4" s="1"/>
  <c r="B36" i="3"/>
  <c r="H30" i="3"/>
  <c r="L30" i="3" l="1"/>
  <c r="E30" i="3"/>
  <c r="L30" i="1"/>
  <c r="J30" i="1" s="1"/>
  <c r="B31" i="1"/>
  <c r="E32" i="4"/>
  <c r="B38" i="4"/>
  <c r="F33" i="4"/>
  <c r="C36" i="3"/>
  <c r="F31" i="3"/>
  <c r="J33" i="4" l="1"/>
  <c r="K31" i="1"/>
  <c r="C31" i="1"/>
  <c r="L31" i="1" s="1"/>
  <c r="J31" i="3"/>
  <c r="C38" i="4"/>
  <c r="H33" i="4"/>
  <c r="L33" i="4" s="1"/>
  <c r="G33" i="4"/>
  <c r="K33" i="4" s="1"/>
  <c r="D36" i="3"/>
  <c r="B37" i="3" s="1"/>
  <c r="G31" i="3"/>
  <c r="K31" i="3" s="1"/>
  <c r="D31" i="1" l="1"/>
  <c r="E33" i="4"/>
  <c r="D38" i="4"/>
  <c r="B39" i="4" s="1"/>
  <c r="F34" i="4"/>
  <c r="C37" i="3"/>
  <c r="H31" i="3"/>
  <c r="L31" i="3" s="1"/>
  <c r="J34" i="4" l="1"/>
  <c r="B32" i="1"/>
  <c r="M31" i="1"/>
  <c r="J31" i="1" s="1"/>
  <c r="E31" i="3"/>
  <c r="C39" i="4"/>
  <c r="H34" i="4"/>
  <c r="L34" i="4" s="1"/>
  <c r="G34" i="4"/>
  <c r="K34" i="4" s="1"/>
  <c r="F35" i="4"/>
  <c r="H35" i="4"/>
  <c r="L35" i="4" s="1"/>
  <c r="D37" i="3"/>
  <c r="B38" i="3" s="1"/>
  <c r="F32" i="3"/>
  <c r="J32" i="3" l="1"/>
  <c r="E34" i="4"/>
  <c r="J35" i="4"/>
  <c r="K32" i="1"/>
  <c r="C32" i="1"/>
  <c r="L32" i="1" s="1"/>
  <c r="D39" i="4"/>
  <c r="B40" i="4" s="1"/>
  <c r="G35" i="4"/>
  <c r="K35" i="4" s="1"/>
  <c r="C38" i="3"/>
  <c r="G32" i="3"/>
  <c r="K32" i="3" s="1"/>
  <c r="D32" i="1" l="1"/>
  <c r="E35" i="4"/>
  <c r="C40" i="4"/>
  <c r="F36" i="4"/>
  <c r="D38" i="3"/>
  <c r="B39" i="3" s="1"/>
  <c r="H32" i="3"/>
  <c r="L32" i="3" s="1"/>
  <c r="J36" i="4" l="1"/>
  <c r="B33" i="1"/>
  <c r="M32" i="1"/>
  <c r="J32" i="1" s="1"/>
  <c r="E32" i="3"/>
  <c r="D40" i="4"/>
  <c r="B41" i="4" s="1"/>
  <c r="G36" i="4"/>
  <c r="K36" i="4" s="1"/>
  <c r="H36" i="4"/>
  <c r="L36" i="4" s="1"/>
  <c r="C39" i="3"/>
  <c r="F33" i="3"/>
  <c r="G33" i="3"/>
  <c r="K33" i="3" s="1"/>
  <c r="J33" i="3" l="1"/>
  <c r="E36" i="4"/>
  <c r="K33" i="1"/>
  <c r="C33" i="1"/>
  <c r="L33" i="1" s="1"/>
  <c r="D33" i="1"/>
  <c r="C41" i="4"/>
  <c r="D39" i="3"/>
  <c r="B40" i="3" s="1"/>
  <c r="B34" i="1" l="1"/>
  <c r="M33" i="1"/>
  <c r="J33" i="1" s="1"/>
  <c r="D41" i="4"/>
  <c r="B42" i="4" s="1"/>
  <c r="F37" i="4"/>
  <c r="C40" i="3"/>
  <c r="H33" i="3"/>
  <c r="L33" i="3" l="1"/>
  <c r="E33" i="3"/>
  <c r="J37" i="4"/>
  <c r="K34" i="1"/>
  <c r="C34" i="1"/>
  <c r="D34" i="1" s="1"/>
  <c r="M34" i="1" s="1"/>
  <c r="C42" i="4"/>
  <c r="G37" i="4"/>
  <c r="K37" i="4" s="1"/>
  <c r="H37" i="4"/>
  <c r="L37" i="4" s="1"/>
  <c r="D40" i="3"/>
  <c r="B41" i="3" s="1"/>
  <c r="F34" i="3"/>
  <c r="H34" i="3"/>
  <c r="L34" i="3" s="1"/>
  <c r="J34" i="3" l="1"/>
  <c r="L34" i="1"/>
  <c r="B35" i="1"/>
  <c r="J34" i="1"/>
  <c r="E37" i="4"/>
  <c r="D42" i="4"/>
  <c r="B43" i="4" s="1"/>
  <c r="C41" i="3"/>
  <c r="G34" i="3"/>
  <c r="K34" i="3" s="1"/>
  <c r="E34" i="3" l="1"/>
  <c r="K35" i="1"/>
  <c r="C35" i="1"/>
  <c r="L35" i="1" s="1"/>
  <c r="D35" i="1"/>
  <c r="C43" i="4"/>
  <c r="F38" i="4"/>
  <c r="D41" i="3"/>
  <c r="B42" i="3" s="1"/>
  <c r="F35" i="3"/>
  <c r="J35" i="3" l="1"/>
  <c r="J38" i="4"/>
  <c r="B36" i="1"/>
  <c r="M35" i="1"/>
  <c r="J35" i="1"/>
  <c r="D43" i="4"/>
  <c r="B44" i="4" s="1"/>
  <c r="G38" i="4"/>
  <c r="K38" i="4" s="1"/>
  <c r="H38" i="4"/>
  <c r="L38" i="4" s="1"/>
  <c r="C42" i="3"/>
  <c r="H35" i="3"/>
  <c r="L35" i="3" s="1"/>
  <c r="G35" i="3"/>
  <c r="K35" i="3" s="1"/>
  <c r="K36" i="1" l="1"/>
  <c r="C36" i="1"/>
  <c r="L36" i="1" s="1"/>
  <c r="E35" i="3"/>
  <c r="E38" i="4"/>
  <c r="C44" i="4"/>
  <c r="D44" i="4"/>
  <c r="D42" i="3"/>
  <c r="B43" i="3" s="1"/>
  <c r="F36" i="3"/>
  <c r="D36" i="1" l="1"/>
  <c r="J36" i="3"/>
  <c r="B37" i="1"/>
  <c r="M36" i="1"/>
  <c r="J36" i="1" s="1"/>
  <c r="B45" i="4"/>
  <c r="F39" i="4"/>
  <c r="C43" i="3"/>
  <c r="G36" i="3"/>
  <c r="K36" i="3" s="1"/>
  <c r="K37" i="1" l="1"/>
  <c r="C37" i="1"/>
  <c r="L37" i="1" s="1"/>
  <c r="J39" i="4"/>
  <c r="C45" i="4"/>
  <c r="G39" i="4"/>
  <c r="K39" i="4" s="1"/>
  <c r="H39" i="4"/>
  <c r="L39" i="4" s="1"/>
  <c r="D43" i="3"/>
  <c r="B44" i="3" s="1"/>
  <c r="H36" i="3"/>
  <c r="L36" i="3" s="1"/>
  <c r="D37" i="1" l="1"/>
  <c r="E36" i="3"/>
  <c r="E39" i="4"/>
  <c r="B38" i="1"/>
  <c r="M37" i="1"/>
  <c r="J37" i="1"/>
  <c r="D45" i="4"/>
  <c r="B46" i="4" s="1"/>
  <c r="C44" i="3"/>
  <c r="F37" i="3"/>
  <c r="J37" i="3" l="1"/>
  <c r="K38" i="1"/>
  <c r="C38" i="1"/>
  <c r="L38" i="1" s="1"/>
  <c r="D38" i="1"/>
  <c r="C46" i="4"/>
  <c r="F40" i="4"/>
  <c r="D44" i="3"/>
  <c r="B45" i="3" s="1"/>
  <c r="H37" i="3"/>
  <c r="L37" i="3" s="1"/>
  <c r="G37" i="3"/>
  <c r="K37" i="3" s="1"/>
  <c r="E37" i="3" l="1"/>
  <c r="J40" i="4"/>
  <c r="B39" i="1"/>
  <c r="M38" i="1"/>
  <c r="J38" i="1" s="1"/>
  <c r="D46" i="4"/>
  <c r="B47" i="4" s="1"/>
  <c r="G40" i="4"/>
  <c r="K40" i="4" s="1"/>
  <c r="H40" i="4"/>
  <c r="L40" i="4" s="1"/>
  <c r="C45" i="3"/>
  <c r="E40" i="4" l="1"/>
  <c r="K39" i="1"/>
  <c r="C39" i="1"/>
  <c r="L39" i="1" s="1"/>
  <c r="C47" i="4"/>
  <c r="D45" i="3"/>
  <c r="B46" i="3" s="1"/>
  <c r="F38" i="3"/>
  <c r="J38" i="3" l="1"/>
  <c r="D39" i="1"/>
  <c r="D47" i="4"/>
  <c r="B48" i="4" s="1"/>
  <c r="F41" i="4"/>
  <c r="C46" i="3"/>
  <c r="G38" i="3"/>
  <c r="K38" i="3" s="1"/>
  <c r="H38" i="3"/>
  <c r="L38" i="3" s="1"/>
  <c r="F39" i="3"/>
  <c r="J39" i="3" l="1"/>
  <c r="J41" i="4"/>
  <c r="B40" i="1"/>
  <c r="M39" i="1"/>
  <c r="J39" i="1" s="1"/>
  <c r="E38" i="3"/>
  <c r="C48" i="4"/>
  <c r="D48" i="4" s="1"/>
  <c r="G41" i="4"/>
  <c r="K41" i="4" s="1"/>
  <c r="H41" i="4"/>
  <c r="L41" i="4" s="1"/>
  <c r="D46" i="3"/>
  <c r="B47" i="3" s="1"/>
  <c r="G39" i="3"/>
  <c r="K39" i="3" s="1"/>
  <c r="H39" i="3"/>
  <c r="L39" i="3" s="1"/>
  <c r="K40" i="1" l="1"/>
  <c r="C40" i="1"/>
  <c r="L40" i="1" s="1"/>
  <c r="E39" i="3"/>
  <c r="E41" i="4"/>
  <c r="B49" i="4"/>
  <c r="C47" i="3"/>
  <c r="D40" i="1" l="1"/>
  <c r="B41" i="1"/>
  <c r="M40" i="1"/>
  <c r="J40" i="1" s="1"/>
  <c r="C49" i="4"/>
  <c r="D49" i="4" s="1"/>
  <c r="F42" i="4"/>
  <c r="D47" i="3"/>
  <c r="B48" i="3" s="1"/>
  <c r="F40" i="3"/>
  <c r="J40" i="3" l="1"/>
  <c r="J42" i="4"/>
  <c r="K41" i="1"/>
  <c r="C41" i="1"/>
  <c r="L41" i="1" s="1"/>
  <c r="B50" i="4"/>
  <c r="G42" i="4"/>
  <c r="K42" i="4" s="1"/>
  <c r="H42" i="4"/>
  <c r="L42" i="4" s="1"/>
  <c r="C48" i="3"/>
  <c r="G40" i="3"/>
  <c r="K40" i="3" s="1"/>
  <c r="H40" i="3"/>
  <c r="L40" i="3" s="1"/>
  <c r="D41" i="1" l="1"/>
  <c r="B42" i="1"/>
  <c r="M41" i="1"/>
  <c r="J41" i="1" s="1"/>
  <c r="E40" i="3"/>
  <c r="E42" i="4"/>
  <c r="C50" i="4"/>
  <c r="D48" i="3"/>
  <c r="B49" i="3" s="1"/>
  <c r="K42" i="1" l="1"/>
  <c r="C42" i="1"/>
  <c r="L42" i="1" s="1"/>
  <c r="D50" i="4"/>
  <c r="B51" i="4" s="1"/>
  <c r="F43" i="4"/>
  <c r="C49" i="3"/>
  <c r="H41" i="3"/>
  <c r="L41" i="3" s="1"/>
  <c r="F41" i="3"/>
  <c r="D42" i="1" l="1"/>
  <c r="J43" i="4"/>
  <c r="J41" i="3"/>
  <c r="B43" i="1"/>
  <c r="M42" i="1"/>
  <c r="J42" i="1" s="1"/>
  <c r="C51" i="4"/>
  <c r="G43" i="4"/>
  <c r="K43" i="4" s="1"/>
  <c r="H43" i="4"/>
  <c r="L43" i="4" s="1"/>
  <c r="D49" i="3"/>
  <c r="B50" i="3" s="1"/>
  <c r="G41" i="3"/>
  <c r="K41" i="3" s="1"/>
  <c r="E41" i="3" l="1"/>
  <c r="E43" i="4"/>
  <c r="K43" i="1"/>
  <c r="C43" i="1"/>
  <c r="L43" i="1" s="1"/>
  <c r="D43" i="1"/>
  <c r="D51" i="4"/>
  <c r="B52" i="4" s="1"/>
  <c r="C50" i="3"/>
  <c r="F42" i="3"/>
  <c r="J42" i="3" l="1"/>
  <c r="B44" i="1"/>
  <c r="M43" i="1"/>
  <c r="J43" i="1" s="1"/>
  <c r="C52" i="4"/>
  <c r="D52" i="4"/>
  <c r="F44" i="4"/>
  <c r="D50" i="3"/>
  <c r="B51" i="3" s="1"/>
  <c r="G42" i="3"/>
  <c r="K42" i="3" s="1"/>
  <c r="H42" i="3"/>
  <c r="L42" i="3" s="1"/>
  <c r="J44" i="4" l="1"/>
  <c r="K44" i="1"/>
  <c r="C44" i="1"/>
  <c r="L44" i="1" s="1"/>
  <c r="E42" i="3"/>
  <c r="B53" i="4"/>
  <c r="G44" i="4"/>
  <c r="K44" i="4" s="1"/>
  <c r="H44" i="4"/>
  <c r="L44" i="4" s="1"/>
  <c r="C51" i="3"/>
  <c r="D44" i="1" l="1"/>
  <c r="E44" i="4"/>
  <c r="B45" i="1"/>
  <c r="M44" i="1"/>
  <c r="J44" i="1" s="1"/>
  <c r="C53" i="4"/>
  <c r="D51" i="3"/>
  <c r="B52" i="3" s="1"/>
  <c r="F43" i="3"/>
  <c r="H43" i="3"/>
  <c r="L43" i="3" s="1"/>
  <c r="K45" i="1" l="1"/>
  <c r="C45" i="1"/>
  <c r="L45" i="1" s="1"/>
  <c r="D45" i="1"/>
  <c r="J43" i="3"/>
  <c r="D53" i="4"/>
  <c r="B54" i="4" s="1"/>
  <c r="F45" i="4"/>
  <c r="C52" i="3"/>
  <c r="G43" i="3"/>
  <c r="K43" i="3" s="1"/>
  <c r="J45" i="4" l="1"/>
  <c r="E43" i="3"/>
  <c r="B46" i="1"/>
  <c r="M45" i="1"/>
  <c r="J45" i="1" s="1"/>
  <c r="C54" i="4"/>
  <c r="G45" i="4"/>
  <c r="K45" i="4" s="1"/>
  <c r="H45" i="4"/>
  <c r="L45" i="4" s="1"/>
  <c r="D52" i="3"/>
  <c r="B53" i="3" s="1"/>
  <c r="F44" i="3"/>
  <c r="H44" i="3"/>
  <c r="L44" i="3" s="1"/>
  <c r="J44" i="3" l="1"/>
  <c r="K46" i="1"/>
  <c r="C46" i="1"/>
  <c r="L46" i="1" s="1"/>
  <c r="E45" i="4"/>
  <c r="D54" i="4"/>
  <c r="B55" i="4" s="1"/>
  <c r="C53" i="3"/>
  <c r="G44" i="3"/>
  <c r="K44" i="3" s="1"/>
  <c r="D46" i="1" l="1"/>
  <c r="E44" i="3"/>
  <c r="C55" i="4"/>
  <c r="F46" i="4"/>
  <c r="H46" i="4"/>
  <c r="L46" i="4" s="1"/>
  <c r="D53" i="3"/>
  <c r="B54" i="3" s="1"/>
  <c r="F45" i="3"/>
  <c r="J45" i="3" l="1"/>
  <c r="J46" i="4"/>
  <c r="B47" i="1"/>
  <c r="M46" i="1"/>
  <c r="J46" i="1" s="1"/>
  <c r="D55" i="4"/>
  <c r="B56" i="4" s="1"/>
  <c r="G46" i="4"/>
  <c r="K46" i="4" s="1"/>
  <c r="C54" i="3"/>
  <c r="G45" i="3"/>
  <c r="K45" i="3" s="1"/>
  <c r="H45" i="3"/>
  <c r="L45" i="3" s="1"/>
  <c r="K47" i="1" l="1"/>
  <c r="C47" i="1"/>
  <c r="L47" i="1" s="1"/>
  <c r="E45" i="3"/>
  <c r="E46" i="4"/>
  <c r="C56" i="4"/>
  <c r="F47" i="4"/>
  <c r="D54" i="3"/>
  <c r="B55" i="3" s="1"/>
  <c r="J47" i="4" l="1"/>
  <c r="D47" i="1"/>
  <c r="D56" i="4"/>
  <c r="B57" i="4" s="1"/>
  <c r="G47" i="4"/>
  <c r="K47" i="4" s="1"/>
  <c r="H47" i="4"/>
  <c r="L47" i="4" s="1"/>
  <c r="C55" i="3"/>
  <c r="F46" i="3"/>
  <c r="J46" i="3" l="1"/>
  <c r="B48" i="1"/>
  <c r="M47" i="1"/>
  <c r="J47" i="1" s="1"/>
  <c r="E47" i="4"/>
  <c r="C57" i="4"/>
  <c r="D57" i="4" s="1"/>
  <c r="D55" i="3"/>
  <c r="B56" i="3" s="1"/>
  <c r="G46" i="3"/>
  <c r="K46" i="3" s="1"/>
  <c r="H46" i="3"/>
  <c r="L46" i="3" s="1"/>
  <c r="E46" i="3" l="1"/>
  <c r="K48" i="1"/>
  <c r="C48" i="1"/>
  <c r="L48" i="1" s="1"/>
  <c r="B58" i="4"/>
  <c r="F48" i="4"/>
  <c r="C56" i="3"/>
  <c r="J48" i="4" l="1"/>
  <c r="D48" i="1"/>
  <c r="C58" i="4"/>
  <c r="G48" i="4"/>
  <c r="K48" i="4" s="1"/>
  <c r="H48" i="4"/>
  <c r="L48" i="4" s="1"/>
  <c r="D56" i="3"/>
  <c r="B57" i="3" s="1"/>
  <c r="H47" i="3"/>
  <c r="L47" i="3" s="1"/>
  <c r="F47" i="3"/>
  <c r="J47" i="3" l="1"/>
  <c r="B49" i="1"/>
  <c r="M48" i="1"/>
  <c r="J48" i="1" s="1"/>
  <c r="E48" i="4"/>
  <c r="D58" i="4"/>
  <c r="B59" i="4" s="1"/>
  <c r="C57" i="3"/>
  <c r="G47" i="3"/>
  <c r="K47" i="3" s="1"/>
  <c r="E47" i="3" l="1"/>
  <c r="K49" i="1"/>
  <c r="C49" i="1"/>
  <c r="L49" i="1" s="1"/>
  <c r="C59" i="4"/>
  <c r="F49" i="4"/>
  <c r="D57" i="3"/>
  <c r="B58" i="3" s="1"/>
  <c r="F48" i="3"/>
  <c r="J49" i="4" l="1"/>
  <c r="J48" i="3"/>
  <c r="D49" i="1"/>
  <c r="D59" i="4"/>
  <c r="B60" i="4" s="1"/>
  <c r="G49" i="4"/>
  <c r="K49" i="4" s="1"/>
  <c r="H49" i="4"/>
  <c r="L49" i="4" s="1"/>
  <c r="C58" i="3"/>
  <c r="G48" i="3"/>
  <c r="K48" i="3" s="1"/>
  <c r="H48" i="3"/>
  <c r="L48" i="3" s="1"/>
  <c r="B50" i="1" l="1"/>
  <c r="M49" i="1"/>
  <c r="J49" i="1" s="1"/>
  <c r="E49" i="4"/>
  <c r="E48" i="3"/>
  <c r="C60" i="4"/>
  <c r="D58" i="3"/>
  <c r="B59" i="3" s="1"/>
  <c r="K50" i="1" l="1"/>
  <c r="C50" i="1"/>
  <c r="D50" i="1" s="1"/>
  <c r="M50" i="1" s="1"/>
  <c r="D60" i="4"/>
  <c r="B61" i="4" s="1"/>
  <c r="F50" i="4"/>
  <c r="H50" i="4"/>
  <c r="L50" i="4" s="1"/>
  <c r="C59" i="3"/>
  <c r="F49" i="3"/>
  <c r="H49" i="3"/>
  <c r="L49" i="3" s="1"/>
  <c r="J49" i="3" l="1"/>
  <c r="J50" i="4"/>
  <c r="L50" i="1"/>
  <c r="B51" i="1"/>
  <c r="J50" i="1"/>
  <c r="C61" i="4"/>
  <c r="D61" i="4" s="1"/>
  <c r="G50" i="4"/>
  <c r="K50" i="4" s="1"/>
  <c r="D59" i="3"/>
  <c r="B60" i="3" s="1"/>
  <c r="G49" i="3"/>
  <c r="K49" i="3" s="1"/>
  <c r="K51" i="1" l="1"/>
  <c r="C51" i="1"/>
  <c r="L51" i="1" s="1"/>
  <c r="E49" i="3"/>
  <c r="E50" i="4"/>
  <c r="B62" i="4"/>
  <c r="F51" i="4"/>
  <c r="C60" i="3"/>
  <c r="F50" i="3"/>
  <c r="H50" i="3"/>
  <c r="L50" i="3" s="1"/>
  <c r="J51" i="4" l="1"/>
  <c r="J50" i="3"/>
  <c r="D51" i="1"/>
  <c r="C62" i="4"/>
  <c r="G51" i="4"/>
  <c r="K51" i="4" s="1"/>
  <c r="H51" i="4"/>
  <c r="L51" i="4" s="1"/>
  <c r="D60" i="3"/>
  <c r="B61" i="3" s="1"/>
  <c r="G50" i="3"/>
  <c r="K50" i="3" s="1"/>
  <c r="E51" i="4" l="1"/>
  <c r="B52" i="1"/>
  <c r="M51" i="1"/>
  <c r="J51" i="1" s="1"/>
  <c r="E50" i="3"/>
  <c r="D62" i="4"/>
  <c r="B63" i="4" s="1"/>
  <c r="C61" i="3"/>
  <c r="F51" i="3"/>
  <c r="H51" i="3"/>
  <c r="L51" i="3" s="1"/>
  <c r="J51" i="3" l="1"/>
  <c r="K52" i="1"/>
  <c r="C52" i="1"/>
  <c r="L52" i="1" s="1"/>
  <c r="C63" i="4"/>
  <c r="F52" i="4"/>
  <c r="D61" i="3"/>
  <c r="B62" i="3" s="1"/>
  <c r="G51" i="3"/>
  <c r="K51" i="3" s="1"/>
  <c r="D52" i="1" l="1"/>
  <c r="E51" i="3"/>
  <c r="J52" i="4"/>
  <c r="D63" i="4"/>
  <c r="B64" i="4" s="1"/>
  <c r="G52" i="4"/>
  <c r="K52" i="4" s="1"/>
  <c r="H52" i="4"/>
  <c r="L52" i="4" s="1"/>
  <c r="C62" i="3"/>
  <c r="F52" i="3"/>
  <c r="H52" i="3"/>
  <c r="L52" i="3" s="1"/>
  <c r="J52" i="3" l="1"/>
  <c r="E52" i="4"/>
  <c r="B53" i="1"/>
  <c r="M52" i="1"/>
  <c r="J52" i="1" s="1"/>
  <c r="C64" i="4"/>
  <c r="D62" i="3"/>
  <c r="B63" i="3" s="1"/>
  <c r="G52" i="3"/>
  <c r="K52" i="3" s="1"/>
  <c r="K53" i="1" l="1"/>
  <c r="C53" i="1"/>
  <c r="L53" i="1" s="1"/>
  <c r="D53" i="1"/>
  <c r="E52" i="3"/>
  <c r="D64" i="4"/>
  <c r="B65" i="4" s="1"/>
  <c r="F53" i="4"/>
  <c r="C63" i="3"/>
  <c r="H53" i="3"/>
  <c r="L53" i="3" s="1"/>
  <c r="F53" i="3"/>
  <c r="J53" i="3" l="1"/>
  <c r="J53" i="4"/>
  <c r="B54" i="1"/>
  <c r="M53" i="1"/>
  <c r="J53" i="1"/>
  <c r="C65" i="4"/>
  <c r="G53" i="4"/>
  <c r="K53" i="4" s="1"/>
  <c r="H53" i="4"/>
  <c r="L53" i="4" s="1"/>
  <c r="D63" i="3"/>
  <c r="B64" i="3" s="1"/>
  <c r="G53" i="3"/>
  <c r="K53" i="3" s="1"/>
  <c r="K54" i="1" l="1"/>
  <c r="C54" i="1"/>
  <c r="L54" i="1" s="1"/>
  <c r="D54" i="1"/>
  <c r="E53" i="3"/>
  <c r="E53" i="4"/>
  <c r="D65" i="4"/>
  <c r="B66" i="4" s="1"/>
  <c r="C64" i="3"/>
  <c r="F54" i="3"/>
  <c r="J54" i="3" l="1"/>
  <c r="B55" i="1"/>
  <c r="M54" i="1"/>
  <c r="J54" i="1"/>
  <c r="C66" i="4"/>
  <c r="F54" i="4"/>
  <c r="H54" i="4"/>
  <c r="L54" i="4" s="1"/>
  <c r="D64" i="3"/>
  <c r="B65" i="3" s="1"/>
  <c r="G54" i="3"/>
  <c r="K54" i="3" s="1"/>
  <c r="H54" i="3"/>
  <c r="L54" i="3" s="1"/>
  <c r="E54" i="3" l="1"/>
  <c r="J54" i="4"/>
  <c r="K55" i="1"/>
  <c r="C55" i="1"/>
  <c r="L55" i="1" s="1"/>
  <c r="D66" i="4"/>
  <c r="B67" i="4" s="1"/>
  <c r="G54" i="4"/>
  <c r="K54" i="4" s="1"/>
  <c r="C65" i="3"/>
  <c r="E54" i="4" l="1"/>
  <c r="D55" i="1"/>
  <c r="C67" i="4"/>
  <c r="F55" i="4"/>
  <c r="D65" i="3"/>
  <c r="B66" i="3" s="1"/>
  <c r="F55" i="3"/>
  <c r="H55" i="3"/>
  <c r="L55" i="3" s="1"/>
  <c r="J55" i="3" l="1"/>
  <c r="B56" i="1"/>
  <c r="M55" i="1"/>
  <c r="J55" i="1" s="1"/>
  <c r="J55" i="4"/>
  <c r="D67" i="4"/>
  <c r="B68" i="4" s="1"/>
  <c r="G55" i="4"/>
  <c r="K55" i="4" s="1"/>
  <c r="H55" i="4"/>
  <c r="L55" i="4" s="1"/>
  <c r="C66" i="3"/>
  <c r="G55" i="3"/>
  <c r="K55" i="3" s="1"/>
  <c r="K56" i="1" l="1"/>
  <c r="C56" i="1"/>
  <c r="L56" i="1" s="1"/>
  <c r="D56" i="1"/>
  <c r="E55" i="3"/>
  <c r="E55" i="4"/>
  <c r="C68" i="4"/>
  <c r="D66" i="3"/>
  <c r="B67" i="3" s="1"/>
  <c r="F56" i="3"/>
  <c r="H56" i="3"/>
  <c r="L56" i="3" s="1"/>
  <c r="J56" i="3" l="1"/>
  <c r="B57" i="1"/>
  <c r="M56" i="1"/>
  <c r="J56" i="1"/>
  <c r="D68" i="4"/>
  <c r="B69" i="4" s="1"/>
  <c r="F56" i="4"/>
  <c r="H56" i="4"/>
  <c r="L56" i="4" s="1"/>
  <c r="C67" i="3"/>
  <c r="D67" i="3" s="1"/>
  <c r="G56" i="3"/>
  <c r="K56" i="3" s="1"/>
  <c r="E56" i="3" l="1"/>
  <c r="J56" i="4"/>
  <c r="K57" i="1"/>
  <c r="C57" i="1"/>
  <c r="L57" i="1" s="1"/>
  <c r="C69" i="4"/>
  <c r="G56" i="4"/>
  <c r="K56" i="4" s="1"/>
  <c r="B68" i="3"/>
  <c r="F57" i="3"/>
  <c r="H57" i="3"/>
  <c r="L57" i="3" s="1"/>
  <c r="D57" i="1" l="1"/>
  <c r="J57" i="3"/>
  <c r="B58" i="1"/>
  <c r="M57" i="1"/>
  <c r="J57" i="1"/>
  <c r="E56" i="4"/>
  <c r="D69" i="4"/>
  <c r="B70" i="4" s="1"/>
  <c r="F57" i="4"/>
  <c r="C68" i="3"/>
  <c r="G57" i="3"/>
  <c r="K57" i="3" s="1"/>
  <c r="J57" i="4" l="1"/>
  <c r="E57" i="3"/>
  <c r="K58" i="1"/>
  <c r="C58" i="1"/>
  <c r="D58" i="1"/>
  <c r="M58" i="1" s="1"/>
  <c r="C70" i="4"/>
  <c r="G57" i="4"/>
  <c r="K57" i="4" s="1"/>
  <c r="H57" i="4"/>
  <c r="L57" i="4" s="1"/>
  <c r="D68" i="3"/>
  <c r="B69" i="3" s="1"/>
  <c r="F58" i="3"/>
  <c r="J58" i="3" l="1"/>
  <c r="E57" i="4"/>
  <c r="L58" i="1"/>
  <c r="J58" i="1" s="1"/>
  <c r="B59" i="1"/>
  <c r="D70" i="4"/>
  <c r="B71" i="4" s="1"/>
  <c r="C69" i="3"/>
  <c r="G58" i="3"/>
  <c r="K58" i="3" s="1"/>
  <c r="H58" i="3"/>
  <c r="L58" i="3" s="1"/>
  <c r="K59" i="1" l="1"/>
  <c r="C59" i="1"/>
  <c r="L59" i="1" s="1"/>
  <c r="D59" i="1"/>
  <c r="E58" i="3"/>
  <c r="C71" i="4"/>
  <c r="F58" i="4"/>
  <c r="D69" i="3"/>
  <c r="B70" i="3" s="1"/>
  <c r="J58" i="4" l="1"/>
  <c r="B60" i="1"/>
  <c r="M59" i="1"/>
  <c r="J59" i="1" s="1"/>
  <c r="D71" i="4"/>
  <c r="B72" i="4" s="1"/>
  <c r="G58" i="4"/>
  <c r="K58" i="4" s="1"/>
  <c r="H58" i="4"/>
  <c r="L58" i="4" s="1"/>
  <c r="C70" i="3"/>
  <c r="F59" i="3"/>
  <c r="H59" i="3"/>
  <c r="L59" i="3" s="1"/>
  <c r="E58" i="4" l="1"/>
  <c r="J59" i="3"/>
  <c r="K60" i="1"/>
  <c r="C60" i="1"/>
  <c r="L60" i="1" s="1"/>
  <c r="C72" i="4"/>
  <c r="D70" i="3"/>
  <c r="B71" i="3" s="1"/>
  <c r="G59" i="3"/>
  <c r="K59" i="3" s="1"/>
  <c r="D60" i="1" l="1"/>
  <c r="B61" i="1"/>
  <c r="M60" i="1"/>
  <c r="E59" i="3"/>
  <c r="J60" i="1"/>
  <c r="D72" i="4"/>
  <c r="B73" i="4" s="1"/>
  <c r="F59" i="4"/>
  <c r="C71" i="3"/>
  <c r="F60" i="3"/>
  <c r="J60" i="3" l="1"/>
  <c r="J59" i="4"/>
  <c r="K61" i="1"/>
  <c r="C61" i="1"/>
  <c r="L61" i="1" s="1"/>
  <c r="D61" i="1"/>
  <c r="C73" i="4"/>
  <c r="D73" i="4" s="1"/>
  <c r="G59" i="4"/>
  <c r="K59" i="4" s="1"/>
  <c r="H59" i="4"/>
  <c r="L59" i="4" s="1"/>
  <c r="D71" i="3"/>
  <c r="B72" i="3" s="1"/>
  <c r="G60" i="3"/>
  <c r="K60" i="3" s="1"/>
  <c r="H60" i="3"/>
  <c r="L60" i="3" s="1"/>
  <c r="E60" i="3" l="1"/>
  <c r="B62" i="1"/>
  <c r="M61" i="1"/>
  <c r="J61" i="1" s="1"/>
  <c r="E59" i="4"/>
  <c r="B74" i="4"/>
  <c r="C72" i="3"/>
  <c r="K62" i="1" l="1"/>
  <c r="C62" i="1"/>
  <c r="L62" i="1" s="1"/>
  <c r="C74" i="4"/>
  <c r="F60" i="4"/>
  <c r="H60" i="4"/>
  <c r="L60" i="4" s="1"/>
  <c r="D72" i="3"/>
  <c r="B73" i="3" s="1"/>
  <c r="F61" i="3"/>
  <c r="H61" i="3"/>
  <c r="L61" i="3" s="1"/>
  <c r="D62" i="1" l="1"/>
  <c r="J60" i="4"/>
  <c r="J61" i="3"/>
  <c r="B63" i="1"/>
  <c r="M62" i="1"/>
  <c r="J62" i="1" s="1"/>
  <c r="D74" i="4"/>
  <c r="B75" i="4" s="1"/>
  <c r="G60" i="4"/>
  <c r="K60" i="4" s="1"/>
  <c r="C73" i="3"/>
  <c r="G61" i="3"/>
  <c r="K61" i="3" s="1"/>
  <c r="K63" i="1" l="1"/>
  <c r="C63" i="1"/>
  <c r="L63" i="1" s="1"/>
  <c r="D63" i="1"/>
  <c r="E60" i="4"/>
  <c r="E61" i="3"/>
  <c r="C75" i="4"/>
  <c r="F61" i="4"/>
  <c r="D73" i="3"/>
  <c r="B74" i="3" s="1"/>
  <c r="F62" i="3"/>
  <c r="H62" i="3"/>
  <c r="L62" i="3" s="1"/>
  <c r="J62" i="3" l="1"/>
  <c r="J61" i="4"/>
  <c r="B64" i="1"/>
  <c r="M63" i="1"/>
  <c r="J63" i="1"/>
  <c r="D75" i="4"/>
  <c r="B76" i="4" s="1"/>
  <c r="G61" i="4"/>
  <c r="K61" i="4" s="1"/>
  <c r="H61" i="4"/>
  <c r="L61" i="4" s="1"/>
  <c r="C74" i="3"/>
  <c r="G62" i="3"/>
  <c r="K62" i="3" s="1"/>
  <c r="K64" i="1" l="1"/>
  <c r="C64" i="1"/>
  <c r="L64" i="1" s="1"/>
  <c r="E62" i="3"/>
  <c r="E61" i="4"/>
  <c r="C76" i="4"/>
  <c r="D74" i="3"/>
  <c r="B75" i="3" s="1"/>
  <c r="F63" i="3"/>
  <c r="D64" i="1" l="1"/>
  <c r="J63" i="3"/>
  <c r="B65" i="1"/>
  <c r="M64" i="1"/>
  <c r="J64" i="1"/>
  <c r="D76" i="4"/>
  <c r="B77" i="4" s="1"/>
  <c r="F62" i="4"/>
  <c r="H62" i="4"/>
  <c r="L62" i="4" s="1"/>
  <c r="C75" i="3"/>
  <c r="D75" i="3" s="1"/>
  <c r="G63" i="3"/>
  <c r="K63" i="3" s="1"/>
  <c r="H63" i="3"/>
  <c r="L63" i="3" s="1"/>
  <c r="J62" i="4" l="1"/>
  <c r="E63" i="3"/>
  <c r="K65" i="1"/>
  <c r="C65" i="1"/>
  <c r="L65" i="1" s="1"/>
  <c r="D65" i="1"/>
  <c r="C77" i="4"/>
  <c r="D77" i="4" s="1"/>
  <c r="G62" i="4"/>
  <c r="K62" i="4" s="1"/>
  <c r="B76" i="3"/>
  <c r="B66" i="1" l="1"/>
  <c r="M65" i="1"/>
  <c r="J65" i="1" s="1"/>
  <c r="E62" i="4"/>
  <c r="B78" i="4"/>
  <c r="F63" i="4"/>
  <c r="C76" i="3"/>
  <c r="F64" i="3"/>
  <c r="J63" i="4" l="1"/>
  <c r="J64" i="3"/>
  <c r="K66" i="1"/>
  <c r="C66" i="1"/>
  <c r="D66" i="1" s="1"/>
  <c r="M66" i="1" s="1"/>
  <c r="C78" i="4"/>
  <c r="G63" i="4"/>
  <c r="K63" i="4" s="1"/>
  <c r="H63" i="4"/>
  <c r="L63" i="4" s="1"/>
  <c r="D76" i="3"/>
  <c r="B77" i="3" s="1"/>
  <c r="G64" i="3"/>
  <c r="K64" i="3" s="1"/>
  <c r="H64" i="3"/>
  <c r="L64" i="3" s="1"/>
  <c r="L66" i="1" l="1"/>
  <c r="J66" i="1" s="1"/>
  <c r="B67" i="1"/>
  <c r="E63" i="4"/>
  <c r="E64" i="3"/>
  <c r="D78" i="4"/>
  <c r="B79" i="4" s="1"/>
  <c r="C77" i="3"/>
  <c r="K67" i="1" l="1"/>
  <c r="C67" i="1"/>
  <c r="L67" i="1" s="1"/>
  <c r="C79" i="4"/>
  <c r="F64" i="4"/>
  <c r="D77" i="3"/>
  <c r="B78" i="3" s="1"/>
  <c r="H65" i="3"/>
  <c r="L65" i="3" s="1"/>
  <c r="F65" i="3"/>
  <c r="J64" i="4" l="1"/>
  <c r="J65" i="3"/>
  <c r="D67" i="1"/>
  <c r="D79" i="4"/>
  <c r="B80" i="4" s="1"/>
  <c r="G64" i="4"/>
  <c r="K64" i="4" s="1"/>
  <c r="H64" i="4"/>
  <c r="L64" i="4" s="1"/>
  <c r="C78" i="3"/>
  <c r="G65" i="3"/>
  <c r="K65" i="3" s="1"/>
  <c r="E64" i="4" l="1"/>
  <c r="B68" i="1"/>
  <c r="M67" i="1"/>
  <c r="J67" i="1" s="1"/>
  <c r="E65" i="3"/>
  <c r="C80" i="4"/>
  <c r="D78" i="3"/>
  <c r="B79" i="3" s="1"/>
  <c r="F66" i="3"/>
  <c r="J66" i="3" l="1"/>
  <c r="K68" i="1"/>
  <c r="C68" i="1"/>
  <c r="L68" i="1" s="1"/>
  <c r="D80" i="4"/>
  <c r="B81" i="4" s="1"/>
  <c r="F65" i="4"/>
  <c r="C79" i="3"/>
  <c r="G66" i="3"/>
  <c r="K66" i="3" s="1"/>
  <c r="H66" i="3"/>
  <c r="L66" i="3" s="1"/>
  <c r="J65" i="4" l="1"/>
  <c r="E66" i="3"/>
  <c r="D68" i="1"/>
  <c r="C81" i="4"/>
  <c r="D81" i="4" s="1"/>
  <c r="G65" i="4"/>
  <c r="K65" i="4" s="1"/>
  <c r="H65" i="4"/>
  <c r="L65" i="4" s="1"/>
  <c r="D79" i="3"/>
  <c r="B80" i="3" s="1"/>
  <c r="B69" i="1" l="1"/>
  <c r="M68" i="1"/>
  <c r="J68" i="1" s="1"/>
  <c r="E65" i="4"/>
  <c r="B82" i="4"/>
  <c r="C80" i="3"/>
  <c r="F67" i="3"/>
  <c r="H67" i="3"/>
  <c r="L67" i="3" s="1"/>
  <c r="J67" i="3" l="1"/>
  <c r="K69" i="1"/>
  <c r="C69" i="1"/>
  <c r="L69" i="1" s="1"/>
  <c r="C82" i="4"/>
  <c r="F66" i="4"/>
  <c r="D80" i="3"/>
  <c r="B81" i="3" s="1"/>
  <c r="G67" i="3"/>
  <c r="K67" i="3" s="1"/>
  <c r="D69" i="1" l="1"/>
  <c r="J66" i="4"/>
  <c r="B70" i="1"/>
  <c r="M69" i="1"/>
  <c r="J69" i="1" s="1"/>
  <c r="E67" i="3"/>
  <c r="D82" i="4"/>
  <c r="B83" i="4" s="1"/>
  <c r="G66" i="4"/>
  <c r="K66" i="4" s="1"/>
  <c r="H66" i="4"/>
  <c r="L66" i="4" s="1"/>
  <c r="C81" i="3"/>
  <c r="F68" i="3"/>
  <c r="J68" i="3" l="1"/>
  <c r="E66" i="4"/>
  <c r="K70" i="1"/>
  <c r="C70" i="1"/>
  <c r="C83" i="4"/>
  <c r="D81" i="3"/>
  <c r="B82" i="3" s="1"/>
  <c r="G68" i="3"/>
  <c r="K68" i="3" s="1"/>
  <c r="H68" i="3"/>
  <c r="L68" i="3" s="1"/>
  <c r="L70" i="1" l="1"/>
  <c r="D70" i="1"/>
  <c r="M70" i="1" s="1"/>
  <c r="J70" i="1" s="1"/>
  <c r="E68" i="3"/>
  <c r="D83" i="4"/>
  <c r="B84" i="4" s="1"/>
  <c r="F67" i="4"/>
  <c r="C82" i="3"/>
  <c r="J67" i="4" l="1"/>
  <c r="B71" i="1"/>
  <c r="C84" i="4"/>
  <c r="G67" i="4"/>
  <c r="K67" i="4" s="1"/>
  <c r="H67" i="4"/>
  <c r="L67" i="4" s="1"/>
  <c r="D82" i="3"/>
  <c r="B83" i="3" s="1"/>
  <c r="F69" i="3"/>
  <c r="E67" i="4" l="1"/>
  <c r="J69" i="3"/>
  <c r="K71" i="1"/>
  <c r="C71" i="1"/>
  <c r="L71" i="1" s="1"/>
  <c r="D84" i="4"/>
  <c r="B85" i="4" s="1"/>
  <c r="C83" i="3"/>
  <c r="D83" i="3"/>
  <c r="G69" i="3"/>
  <c r="K69" i="3" s="1"/>
  <c r="H69" i="3"/>
  <c r="L69" i="3" s="1"/>
  <c r="D71" i="1" l="1"/>
  <c r="B72" i="1"/>
  <c r="M71" i="1"/>
  <c r="J71" i="1" s="1"/>
  <c r="E69" i="3"/>
  <c r="C85" i="4"/>
  <c r="D85" i="4" s="1"/>
  <c r="F68" i="4"/>
  <c r="B84" i="3"/>
  <c r="J68" i="4" l="1"/>
  <c r="K72" i="1"/>
  <c r="C72" i="1"/>
  <c r="L72" i="1" s="1"/>
  <c r="B86" i="4"/>
  <c r="G68" i="4"/>
  <c r="K68" i="4" s="1"/>
  <c r="H68" i="4"/>
  <c r="L68" i="4" s="1"/>
  <c r="C84" i="3"/>
  <c r="F70" i="3"/>
  <c r="D72" i="1" l="1"/>
  <c r="J70" i="3"/>
  <c r="B73" i="1"/>
  <c r="M72" i="1"/>
  <c r="J72" i="1" s="1"/>
  <c r="E68" i="4"/>
  <c r="C86" i="4"/>
  <c r="D84" i="3"/>
  <c r="B85" i="3" s="1"/>
  <c r="G70" i="3"/>
  <c r="K70" i="3" s="1"/>
  <c r="H70" i="3"/>
  <c r="L70" i="3" s="1"/>
  <c r="E70" i="3" l="1"/>
  <c r="K73" i="1"/>
  <c r="C73" i="1"/>
  <c r="L73" i="1" s="1"/>
  <c r="D86" i="4"/>
  <c r="B87" i="4" s="1"/>
  <c r="F69" i="4"/>
  <c r="C85" i="3"/>
  <c r="J69" i="4" l="1"/>
  <c r="D73" i="1"/>
  <c r="C87" i="4"/>
  <c r="G69" i="4"/>
  <c r="K69" i="4" s="1"/>
  <c r="H69" i="4"/>
  <c r="L69" i="4" s="1"/>
  <c r="D85" i="3"/>
  <c r="B86" i="3" s="1"/>
  <c r="H71" i="3"/>
  <c r="L71" i="3" s="1"/>
  <c r="F71" i="3"/>
  <c r="J71" i="3" l="1"/>
  <c r="E69" i="4"/>
  <c r="B74" i="1"/>
  <c r="M73" i="1"/>
  <c r="J73" i="1" s="1"/>
  <c r="D87" i="4"/>
  <c r="B88" i="4" s="1"/>
  <c r="C86" i="3"/>
  <c r="D86" i="3"/>
  <c r="G71" i="3"/>
  <c r="K71" i="3" s="1"/>
  <c r="E71" i="3" l="1"/>
  <c r="K74" i="1"/>
  <c r="C74" i="1"/>
  <c r="L74" i="1" s="1"/>
  <c r="D74" i="1"/>
  <c r="C88" i="4"/>
  <c r="F70" i="4"/>
  <c r="B87" i="3"/>
  <c r="F72" i="3"/>
  <c r="J70" i="4" l="1"/>
  <c r="B75" i="1"/>
  <c r="M74" i="1"/>
  <c r="J74" i="1" s="1"/>
  <c r="J72" i="3"/>
  <c r="D88" i="4"/>
  <c r="B89" i="4" s="1"/>
  <c r="G70" i="4"/>
  <c r="K70" i="4" s="1"/>
  <c r="H70" i="4"/>
  <c r="L70" i="4" s="1"/>
  <c r="C87" i="3"/>
  <c r="G72" i="3"/>
  <c r="K72" i="3" s="1"/>
  <c r="H72" i="3"/>
  <c r="L72" i="3" s="1"/>
  <c r="E70" i="4" l="1"/>
  <c r="E72" i="3"/>
  <c r="K75" i="1"/>
  <c r="C75" i="1"/>
  <c r="L75" i="1" s="1"/>
  <c r="C89" i="4"/>
  <c r="D89" i="4" s="1"/>
  <c r="D87" i="3"/>
  <c r="B88" i="3" s="1"/>
  <c r="D75" i="1" l="1"/>
  <c r="B76" i="1"/>
  <c r="M75" i="1"/>
  <c r="J75" i="1" s="1"/>
  <c r="B90" i="4"/>
  <c r="F71" i="4"/>
  <c r="C88" i="3"/>
  <c r="F73" i="3"/>
  <c r="J73" i="3" l="1"/>
  <c r="J71" i="4"/>
  <c r="K76" i="1"/>
  <c r="C76" i="1"/>
  <c r="L76" i="1" s="1"/>
  <c r="C90" i="4"/>
  <c r="G71" i="4"/>
  <c r="K71" i="4" s="1"/>
  <c r="H71" i="4"/>
  <c r="L71" i="4" s="1"/>
  <c r="D88" i="3"/>
  <c r="B89" i="3" s="1"/>
  <c r="G73" i="3"/>
  <c r="K73" i="3" s="1"/>
  <c r="H73" i="3"/>
  <c r="L73" i="3" s="1"/>
  <c r="D76" i="1" l="1"/>
  <c r="E71" i="4"/>
  <c r="E73" i="3"/>
  <c r="D90" i="4"/>
  <c r="B91" i="4" s="1"/>
  <c r="C89" i="3"/>
  <c r="B77" i="1" l="1"/>
  <c r="M76" i="1"/>
  <c r="J76" i="1" s="1"/>
  <c r="C91" i="4"/>
  <c r="F72" i="4"/>
  <c r="D89" i="3"/>
  <c r="B90" i="3" s="1"/>
  <c r="F74" i="3"/>
  <c r="J74" i="3" l="1"/>
  <c r="J72" i="4"/>
  <c r="K77" i="1"/>
  <c r="C77" i="1"/>
  <c r="L77" i="1" s="1"/>
  <c r="D91" i="4"/>
  <c r="B92" i="4" s="1"/>
  <c r="G72" i="4"/>
  <c r="K72" i="4" s="1"/>
  <c r="H72" i="4"/>
  <c r="L72" i="4" s="1"/>
  <c r="C90" i="3"/>
  <c r="G74" i="3"/>
  <c r="K74" i="3" s="1"/>
  <c r="H74" i="3"/>
  <c r="L74" i="3" s="1"/>
  <c r="E74" i="3" l="1"/>
  <c r="D77" i="1"/>
  <c r="E72" i="4"/>
  <c r="C92" i="4"/>
  <c r="D90" i="3"/>
  <c r="B91" i="3" s="1"/>
  <c r="B78" i="1" l="1"/>
  <c r="M77" i="1"/>
  <c r="J77" i="1" s="1"/>
  <c r="D92" i="4"/>
  <c r="B93" i="4" s="1"/>
  <c r="F73" i="4"/>
  <c r="C91" i="3"/>
  <c r="D91" i="3"/>
  <c r="F75" i="3"/>
  <c r="H75" i="3"/>
  <c r="L75" i="3" s="1"/>
  <c r="J75" i="3" l="1"/>
  <c r="J73" i="4"/>
  <c r="K78" i="1"/>
  <c r="C78" i="1"/>
  <c r="C93" i="4"/>
  <c r="G73" i="4"/>
  <c r="K73" i="4" s="1"/>
  <c r="H73" i="4"/>
  <c r="L73" i="4" s="1"/>
  <c r="B92" i="3"/>
  <c r="G75" i="3"/>
  <c r="K75" i="3" s="1"/>
  <c r="L78" i="1" l="1"/>
  <c r="E75" i="3"/>
  <c r="D78" i="1"/>
  <c r="M78" i="1" s="1"/>
  <c r="J78" i="1" s="1"/>
  <c r="E73" i="4"/>
  <c r="D93" i="4"/>
  <c r="B94" i="4" s="1"/>
  <c r="C92" i="3"/>
  <c r="F76" i="3"/>
  <c r="B79" i="1" l="1"/>
  <c r="J76" i="3"/>
  <c r="C94" i="4"/>
  <c r="F74" i="4"/>
  <c r="H74" i="4"/>
  <c r="L74" i="4" s="1"/>
  <c r="D92" i="3"/>
  <c r="B93" i="3" s="1"/>
  <c r="G76" i="3"/>
  <c r="K76" i="3" s="1"/>
  <c r="H76" i="3"/>
  <c r="L76" i="3" s="1"/>
  <c r="E76" i="3" l="1"/>
  <c r="J74" i="4"/>
  <c r="K79" i="1"/>
  <c r="C79" i="1"/>
  <c r="L79" i="1" s="1"/>
  <c r="D79" i="1"/>
  <c r="D94" i="4"/>
  <c r="B95" i="4" s="1"/>
  <c r="G74" i="4"/>
  <c r="K74" i="4" s="1"/>
  <c r="C93" i="3"/>
  <c r="B80" i="1" l="1"/>
  <c r="M79" i="1"/>
  <c r="J79" i="1" s="1"/>
  <c r="E74" i="4"/>
  <c r="C95" i="4"/>
  <c r="F75" i="4"/>
  <c r="D93" i="3"/>
  <c r="B94" i="3" s="1"/>
  <c r="H77" i="3"/>
  <c r="L77" i="3" s="1"/>
  <c r="F77" i="3"/>
  <c r="J77" i="3" l="1"/>
  <c r="J75" i="4"/>
  <c r="K80" i="1"/>
  <c r="C80" i="1"/>
  <c r="L80" i="1" s="1"/>
  <c r="D80" i="1"/>
  <c r="D95" i="4"/>
  <c r="B96" i="4" s="1"/>
  <c r="G75" i="4"/>
  <c r="K75" i="4" s="1"/>
  <c r="H75" i="4"/>
  <c r="L75" i="4" s="1"/>
  <c r="C94" i="3"/>
  <c r="G77" i="3"/>
  <c r="K77" i="3" s="1"/>
  <c r="B81" i="1" l="1"/>
  <c r="M80" i="1"/>
  <c r="J80" i="1" s="1"/>
  <c r="E77" i="3"/>
  <c r="E75" i="4"/>
  <c r="C96" i="4"/>
  <c r="D94" i="3"/>
  <c r="B95" i="3" s="1"/>
  <c r="F78" i="3"/>
  <c r="J78" i="3" l="1"/>
  <c r="K81" i="1"/>
  <c r="C81" i="1"/>
  <c r="L81" i="1" s="1"/>
  <c r="D96" i="4"/>
  <c r="B97" i="4" s="1"/>
  <c r="F97" i="4" s="1"/>
  <c r="F76" i="4"/>
  <c r="H76" i="4"/>
  <c r="L76" i="4" s="1"/>
  <c r="C95" i="3"/>
  <c r="G78" i="3"/>
  <c r="K78" i="3" s="1"/>
  <c r="H78" i="3"/>
  <c r="L78" i="3" s="1"/>
  <c r="J76" i="4" l="1"/>
  <c r="E78" i="3"/>
  <c r="D81" i="1"/>
  <c r="C97" i="4"/>
  <c r="G97" i="4" s="1"/>
  <c r="D97" i="4"/>
  <c r="H97" i="4" s="1"/>
  <c r="G76" i="4"/>
  <c r="K76" i="4" s="1"/>
  <c r="D95" i="3"/>
  <c r="B96" i="3" s="1"/>
  <c r="E97" i="4" l="1"/>
  <c r="B82" i="1"/>
  <c r="M81" i="1"/>
  <c r="J81" i="1" s="1"/>
  <c r="E76" i="4"/>
  <c r="B98" i="4"/>
  <c r="F98" i="4" s="1"/>
  <c r="F77" i="4"/>
  <c r="H77" i="4"/>
  <c r="L77" i="4" s="1"/>
  <c r="C96" i="3"/>
  <c r="F79" i="3"/>
  <c r="J77" i="4" l="1"/>
  <c r="J79" i="3"/>
  <c r="K82" i="1"/>
  <c r="C82" i="1"/>
  <c r="L82" i="1" s="1"/>
  <c r="D82" i="1"/>
  <c r="C98" i="4"/>
  <c r="G98" i="4" s="1"/>
  <c r="G77" i="4"/>
  <c r="K77" i="4" s="1"/>
  <c r="D96" i="3"/>
  <c r="B97" i="3" s="1"/>
  <c r="G79" i="3"/>
  <c r="K79" i="3" s="1"/>
  <c r="H79" i="3"/>
  <c r="L79" i="3" s="1"/>
  <c r="B83" i="1" l="1"/>
  <c r="M82" i="1"/>
  <c r="E77" i="4"/>
  <c r="J82" i="1"/>
  <c r="E79" i="3"/>
  <c r="D98" i="4"/>
  <c r="F78" i="4"/>
  <c r="C97" i="3"/>
  <c r="B99" i="4" l="1"/>
  <c r="F99" i="4" s="1"/>
  <c r="H98" i="4"/>
  <c r="E98" i="4" s="1"/>
  <c r="J78" i="4"/>
  <c r="K83" i="1"/>
  <c r="C83" i="1"/>
  <c r="L83" i="1" s="1"/>
  <c r="C99" i="4"/>
  <c r="G99" i="4" s="1"/>
  <c r="G78" i="4"/>
  <c r="K78" i="4" s="1"/>
  <c r="H78" i="4"/>
  <c r="L78" i="4" s="1"/>
  <c r="D97" i="3"/>
  <c r="B98" i="3" s="1"/>
  <c r="F80" i="3"/>
  <c r="J80" i="3" l="1"/>
  <c r="D83" i="1"/>
  <c r="E78" i="4"/>
  <c r="D99" i="4"/>
  <c r="C98" i="3"/>
  <c r="G80" i="3"/>
  <c r="K80" i="3" s="1"/>
  <c r="H80" i="3"/>
  <c r="L80" i="3" s="1"/>
  <c r="B100" i="4" l="1"/>
  <c r="F100" i="4" s="1"/>
  <c r="H99" i="4"/>
  <c r="E99" i="4" s="1"/>
  <c r="E80" i="3"/>
  <c r="B84" i="1"/>
  <c r="M83" i="1"/>
  <c r="J83" i="1" s="1"/>
  <c r="C100" i="4"/>
  <c r="G100" i="4" s="1"/>
  <c r="F79" i="4"/>
  <c r="D98" i="3"/>
  <c r="B99" i="3" s="1"/>
  <c r="J79" i="4" l="1"/>
  <c r="K84" i="1"/>
  <c r="C84" i="1"/>
  <c r="L84" i="1" s="1"/>
  <c r="D100" i="4"/>
  <c r="G79" i="4"/>
  <c r="K79" i="4" s="1"/>
  <c r="H79" i="4"/>
  <c r="L79" i="4" s="1"/>
  <c r="C99" i="3"/>
  <c r="D99" i="3" s="1"/>
  <c r="F81" i="3"/>
  <c r="J81" i="3" l="1"/>
  <c r="B101" i="4"/>
  <c r="F101" i="4" s="1"/>
  <c r="H100" i="4"/>
  <c r="E100" i="4" s="1"/>
  <c r="D84" i="1"/>
  <c r="E79" i="4"/>
  <c r="C101" i="4"/>
  <c r="G101" i="4" s="1"/>
  <c r="B100" i="3"/>
  <c r="G81" i="3"/>
  <c r="K81" i="3" s="1"/>
  <c r="H81" i="3"/>
  <c r="L81" i="3" s="1"/>
  <c r="D101" i="4" l="1"/>
  <c r="H101" i="4" s="1"/>
  <c r="E81" i="3"/>
  <c r="B85" i="1"/>
  <c r="M84" i="1"/>
  <c r="J84" i="1" s="1"/>
  <c r="E101" i="4"/>
  <c r="B102" i="4"/>
  <c r="F102" i="4" s="1"/>
  <c r="F80" i="4"/>
  <c r="H80" i="4"/>
  <c r="L80" i="4" s="1"/>
  <c r="C100" i="3"/>
  <c r="J80" i="4" l="1"/>
  <c r="K85" i="1"/>
  <c r="C85" i="1"/>
  <c r="L85" i="1" s="1"/>
  <c r="C102" i="4"/>
  <c r="G102" i="4" s="1"/>
  <c r="G80" i="4"/>
  <c r="K80" i="4" s="1"/>
  <c r="D100" i="3"/>
  <c r="B101" i="3" s="1"/>
  <c r="H82" i="3"/>
  <c r="L82" i="3" s="1"/>
  <c r="F82" i="3"/>
  <c r="D85" i="1" l="1"/>
  <c r="J82" i="3"/>
  <c r="E80" i="4"/>
  <c r="B86" i="1"/>
  <c r="M85" i="1"/>
  <c r="J85" i="1" s="1"/>
  <c r="D102" i="4"/>
  <c r="F81" i="4"/>
  <c r="C101" i="3"/>
  <c r="G82" i="3"/>
  <c r="K82" i="3" s="1"/>
  <c r="J81" i="4" l="1"/>
  <c r="B103" i="4"/>
  <c r="F103" i="4" s="1"/>
  <c r="H102" i="4"/>
  <c r="E102" i="4" s="1"/>
  <c r="K86" i="1"/>
  <c r="C86" i="1"/>
  <c r="D86" i="1" s="1"/>
  <c r="M86" i="1" s="1"/>
  <c r="E82" i="3"/>
  <c r="C103" i="4"/>
  <c r="G103" i="4" s="1"/>
  <c r="G81" i="4"/>
  <c r="K81" i="4" s="1"/>
  <c r="H81" i="4"/>
  <c r="L81" i="4" s="1"/>
  <c r="D101" i="3"/>
  <c r="B102" i="3" s="1"/>
  <c r="H83" i="3"/>
  <c r="L83" i="3" s="1"/>
  <c r="F83" i="3"/>
  <c r="J83" i="3" l="1"/>
  <c r="E81" i="4"/>
  <c r="L86" i="1"/>
  <c r="J86" i="1" s="1"/>
  <c r="B87" i="1"/>
  <c r="D103" i="4"/>
  <c r="C102" i="3"/>
  <c r="G83" i="3"/>
  <c r="K83" i="3" s="1"/>
  <c r="B104" i="4" l="1"/>
  <c r="F104" i="4" s="1"/>
  <c r="H103" i="4"/>
  <c r="E103" i="4" s="1"/>
  <c r="K87" i="1"/>
  <c r="C87" i="1"/>
  <c r="L87" i="1" s="1"/>
  <c r="D87" i="1"/>
  <c r="E83" i="3"/>
  <c r="C104" i="4"/>
  <c r="G104" i="4" s="1"/>
  <c r="F82" i="4"/>
  <c r="D102" i="3"/>
  <c r="B103" i="3" s="1"/>
  <c r="F84" i="3"/>
  <c r="J82" i="4" l="1"/>
  <c r="B88" i="1"/>
  <c r="M87" i="1"/>
  <c r="J87" i="1" s="1"/>
  <c r="J84" i="3"/>
  <c r="D104" i="4"/>
  <c r="G82" i="4"/>
  <c r="K82" i="4" s="1"/>
  <c r="H82" i="4"/>
  <c r="L82" i="4" s="1"/>
  <c r="C103" i="3"/>
  <c r="G84" i="3"/>
  <c r="K84" i="3" s="1"/>
  <c r="H84" i="3"/>
  <c r="L84" i="3" s="1"/>
  <c r="B105" i="4" l="1"/>
  <c r="F105" i="4" s="1"/>
  <c r="H104" i="4"/>
  <c r="E104" i="4" s="1"/>
  <c r="E84" i="3"/>
  <c r="E82" i="4"/>
  <c r="K88" i="1"/>
  <c r="C88" i="1"/>
  <c r="L88" i="1" s="1"/>
  <c r="C105" i="4"/>
  <c r="G105" i="4" s="1"/>
  <c r="D105" i="4"/>
  <c r="H105" i="4" s="1"/>
  <c r="D103" i="3"/>
  <c r="B104" i="3" s="1"/>
  <c r="D88" i="1" l="1"/>
  <c r="B89" i="1"/>
  <c r="M88" i="1"/>
  <c r="J88" i="1" s="1"/>
  <c r="E105" i="4"/>
  <c r="B106" i="4"/>
  <c r="F106" i="4" s="1"/>
  <c r="F83" i="4"/>
  <c r="C104" i="3"/>
  <c r="F85" i="3"/>
  <c r="J85" i="3" l="1"/>
  <c r="J83" i="4"/>
  <c r="K89" i="1"/>
  <c r="C89" i="1"/>
  <c r="L89" i="1" s="1"/>
  <c r="C106" i="4"/>
  <c r="G106" i="4" s="1"/>
  <c r="G83" i="4"/>
  <c r="K83" i="4" s="1"/>
  <c r="H83" i="4"/>
  <c r="L83" i="4" s="1"/>
  <c r="D104" i="3"/>
  <c r="B105" i="3" s="1"/>
  <c r="G85" i="3"/>
  <c r="K85" i="3" s="1"/>
  <c r="H85" i="3"/>
  <c r="L85" i="3" s="1"/>
  <c r="D89" i="1" l="1"/>
  <c r="E83" i="4"/>
  <c r="E85" i="3"/>
  <c r="D106" i="4"/>
  <c r="C105" i="3"/>
  <c r="B107" i="4" l="1"/>
  <c r="F107" i="4" s="1"/>
  <c r="H106" i="4"/>
  <c r="E106" i="4" s="1"/>
  <c r="B90" i="1"/>
  <c r="M89" i="1"/>
  <c r="J89" i="1" s="1"/>
  <c r="C107" i="4"/>
  <c r="G107" i="4" s="1"/>
  <c r="F84" i="4"/>
  <c r="D105" i="3"/>
  <c r="B106" i="3" s="1"/>
  <c r="F86" i="3"/>
  <c r="J84" i="4" l="1"/>
  <c r="J86" i="3"/>
  <c r="K90" i="1"/>
  <c r="C90" i="1"/>
  <c r="L90" i="1" s="1"/>
  <c r="D107" i="4"/>
  <c r="G84" i="4"/>
  <c r="K84" i="4" s="1"/>
  <c r="H84" i="4"/>
  <c r="L84" i="4" s="1"/>
  <c r="C106" i="3"/>
  <c r="G86" i="3"/>
  <c r="K86" i="3" s="1"/>
  <c r="H86" i="3"/>
  <c r="L86" i="3" s="1"/>
  <c r="D90" i="1" l="1"/>
  <c r="B108" i="4"/>
  <c r="F108" i="4" s="1"/>
  <c r="H107" i="4"/>
  <c r="E107" i="4" s="1"/>
  <c r="B91" i="1"/>
  <c r="M90" i="1"/>
  <c r="J90" i="1" s="1"/>
  <c r="E84" i="4"/>
  <c r="E86" i="3"/>
  <c r="C108" i="4"/>
  <c r="G108" i="4" s="1"/>
  <c r="D106" i="3"/>
  <c r="B107" i="3" s="1"/>
  <c r="K91" i="1" l="1"/>
  <c r="C91" i="1"/>
  <c r="L91" i="1" s="1"/>
  <c r="D108" i="4"/>
  <c r="F85" i="4"/>
  <c r="C107" i="3"/>
  <c r="D107" i="3" s="1"/>
  <c r="F87" i="3"/>
  <c r="D91" i="1" l="1"/>
  <c r="J87" i="3"/>
  <c r="J85" i="4"/>
  <c r="B109" i="4"/>
  <c r="F109" i="4" s="1"/>
  <c r="H108" i="4"/>
  <c r="E108" i="4" s="1"/>
  <c r="B92" i="1"/>
  <c r="M91" i="1"/>
  <c r="J91" i="1" s="1"/>
  <c r="C109" i="4"/>
  <c r="G109" i="4" s="1"/>
  <c r="D109" i="4"/>
  <c r="H109" i="4" s="1"/>
  <c r="G85" i="4"/>
  <c r="K85" i="4" s="1"/>
  <c r="H85" i="4"/>
  <c r="L85" i="4" s="1"/>
  <c r="B108" i="3"/>
  <c r="G87" i="3"/>
  <c r="K87" i="3" s="1"/>
  <c r="H87" i="3"/>
  <c r="L87" i="3" s="1"/>
  <c r="K92" i="1" l="1"/>
  <c r="C92" i="1"/>
  <c r="L92" i="1" s="1"/>
  <c r="D92" i="1"/>
  <c r="E109" i="4"/>
  <c r="E87" i="3"/>
  <c r="E85" i="4"/>
  <c r="B110" i="4"/>
  <c r="F110" i="4" s="1"/>
  <c r="C108" i="3"/>
  <c r="B93" i="1" l="1"/>
  <c r="M92" i="1"/>
  <c r="J92" i="1"/>
  <c r="C110" i="4"/>
  <c r="G110" i="4" s="1"/>
  <c r="F86" i="4"/>
  <c r="D108" i="3"/>
  <c r="B109" i="3" s="1"/>
  <c r="F88" i="3"/>
  <c r="J86" i="4" l="1"/>
  <c r="K93" i="1"/>
  <c r="C93" i="1"/>
  <c r="L93" i="1" s="1"/>
  <c r="D93" i="1"/>
  <c r="J88" i="3"/>
  <c r="D110" i="4"/>
  <c r="G86" i="4"/>
  <c r="K86" i="4" s="1"/>
  <c r="H86" i="4"/>
  <c r="L86" i="4" s="1"/>
  <c r="C109" i="3"/>
  <c r="G88" i="3"/>
  <c r="K88" i="3" s="1"/>
  <c r="H88" i="3"/>
  <c r="L88" i="3" s="1"/>
  <c r="E88" i="3" l="1"/>
  <c r="B94" i="1"/>
  <c r="M93" i="1"/>
  <c r="J93" i="1"/>
  <c r="B111" i="4"/>
  <c r="F111" i="4" s="1"/>
  <c r="H110" i="4"/>
  <c r="E110" i="4" s="1"/>
  <c r="E86" i="4"/>
  <c r="C111" i="4"/>
  <c r="G111" i="4" s="1"/>
  <c r="D109" i="3"/>
  <c r="B110" i="3" s="1"/>
  <c r="C94" i="1" l="1"/>
  <c r="D94" i="1"/>
  <c r="B95" i="1" s="1"/>
  <c r="D111" i="4"/>
  <c r="F87" i="4"/>
  <c r="C110" i="3"/>
  <c r="D110" i="3" s="1"/>
  <c r="F89" i="3"/>
  <c r="J89" i="3" l="1"/>
  <c r="C95" i="1"/>
  <c r="D95" i="1" s="1"/>
  <c r="B96" i="1" s="1"/>
  <c r="J87" i="4"/>
  <c r="B112" i="4"/>
  <c r="F112" i="4" s="1"/>
  <c r="H111" i="4"/>
  <c r="E111" i="4" s="1"/>
  <c r="C112" i="4"/>
  <c r="G112" i="4" s="1"/>
  <c r="G87" i="4"/>
  <c r="K87" i="4" s="1"/>
  <c r="H87" i="4"/>
  <c r="L87" i="4" s="1"/>
  <c r="B111" i="3"/>
  <c r="G89" i="3"/>
  <c r="K89" i="3" s="1"/>
  <c r="H89" i="3"/>
  <c r="L89" i="3" s="1"/>
  <c r="E87" i="4" l="1"/>
  <c r="E89" i="3"/>
  <c r="C96" i="1"/>
  <c r="D96" i="1" s="1"/>
  <c r="B97" i="1" s="1"/>
  <c r="D112" i="4"/>
  <c r="C111" i="3"/>
  <c r="B113" i="4" l="1"/>
  <c r="F113" i="4" s="1"/>
  <c r="H112" i="4"/>
  <c r="E112" i="4" s="1"/>
  <c r="C97" i="1"/>
  <c r="D97" i="1" s="1"/>
  <c r="B98" i="1" s="1"/>
  <c r="C113" i="4"/>
  <c r="G113" i="4" s="1"/>
  <c r="F88" i="4"/>
  <c r="D111" i="3"/>
  <c r="B112" i="3" s="1"/>
  <c r="F90" i="3"/>
  <c r="H90" i="3"/>
  <c r="L90" i="3" s="1"/>
  <c r="J90" i="3" l="1"/>
  <c r="J88" i="4"/>
  <c r="C98" i="1"/>
  <c r="D98" i="1"/>
  <c r="B99" i="1" s="1"/>
  <c r="D113" i="4"/>
  <c r="G88" i="4"/>
  <c r="K88" i="4" s="1"/>
  <c r="H88" i="4"/>
  <c r="L88" i="4" s="1"/>
  <c r="C112" i="3"/>
  <c r="G90" i="3"/>
  <c r="K90" i="3" s="1"/>
  <c r="C99" i="1" l="1"/>
  <c r="D99" i="1"/>
  <c r="B100" i="1" s="1"/>
  <c r="E90" i="3"/>
  <c r="B114" i="4"/>
  <c r="F114" i="4" s="1"/>
  <c r="H113" i="4"/>
  <c r="E113" i="4" s="1"/>
  <c r="E88" i="4"/>
  <c r="C114" i="4"/>
  <c r="G114" i="4" s="1"/>
  <c r="D112" i="3"/>
  <c r="B113" i="3" s="1"/>
  <c r="F91" i="3"/>
  <c r="J91" i="3" l="1"/>
  <c r="C100" i="1"/>
  <c r="D100" i="1"/>
  <c r="B101" i="1" s="1"/>
  <c r="D114" i="4"/>
  <c r="F89" i="4"/>
  <c r="H89" i="4"/>
  <c r="L89" i="4" s="1"/>
  <c r="C113" i="3"/>
  <c r="G91" i="3"/>
  <c r="K91" i="3" s="1"/>
  <c r="H91" i="3"/>
  <c r="L91" i="3" s="1"/>
  <c r="B115" i="4" l="1"/>
  <c r="F115" i="4" s="1"/>
  <c r="H114" i="4"/>
  <c r="E114" i="4" s="1"/>
  <c r="E91" i="3"/>
  <c r="J89" i="4"/>
  <c r="C101" i="1"/>
  <c r="D101" i="1"/>
  <c r="B102" i="1" s="1"/>
  <c r="C115" i="4"/>
  <c r="G115" i="4" s="1"/>
  <c r="G89" i="4"/>
  <c r="K89" i="4" s="1"/>
  <c r="D113" i="3"/>
  <c r="B114" i="3" s="1"/>
  <c r="C102" i="1" l="1"/>
  <c r="D102" i="1"/>
  <c r="B103" i="1" s="1"/>
  <c r="E89" i="4"/>
  <c r="D115" i="4"/>
  <c r="F90" i="4"/>
  <c r="H90" i="4"/>
  <c r="L90" i="4" s="1"/>
  <c r="C114" i="3"/>
  <c r="F92" i="3"/>
  <c r="H92" i="3"/>
  <c r="L92" i="3" s="1"/>
  <c r="J90" i="4" l="1"/>
  <c r="J92" i="3"/>
  <c r="C103" i="1"/>
  <c r="D103" i="1" s="1"/>
  <c r="B104" i="1" s="1"/>
  <c r="B116" i="4"/>
  <c r="F116" i="4" s="1"/>
  <c r="H115" i="4"/>
  <c r="E115" i="4" s="1"/>
  <c r="C116" i="4"/>
  <c r="G116" i="4" s="1"/>
  <c r="G90" i="4"/>
  <c r="K90" i="4" s="1"/>
  <c r="D114" i="3"/>
  <c r="B115" i="3" s="1"/>
  <c r="G92" i="3"/>
  <c r="K92" i="3" s="1"/>
  <c r="E90" i="4" l="1"/>
  <c r="C104" i="1"/>
  <c r="D104" i="1"/>
  <c r="B105" i="1" s="1"/>
  <c r="E92" i="3"/>
  <c r="D116" i="4"/>
  <c r="F91" i="4"/>
  <c r="C115" i="3"/>
  <c r="D115" i="3"/>
  <c r="F93" i="3"/>
  <c r="J91" i="4" l="1"/>
  <c r="B117" i="4"/>
  <c r="F117" i="4" s="1"/>
  <c r="H116" i="4"/>
  <c r="E116" i="4" s="1"/>
  <c r="J93" i="3"/>
  <c r="C105" i="1"/>
  <c r="D105" i="1"/>
  <c r="B106" i="1" s="1"/>
  <c r="C117" i="4"/>
  <c r="G117" i="4" s="1"/>
  <c r="G91" i="4"/>
  <c r="K91" i="4" s="1"/>
  <c r="H91" i="4"/>
  <c r="L91" i="4" s="1"/>
  <c r="B116" i="3"/>
  <c r="G93" i="3"/>
  <c r="K93" i="3" s="1"/>
  <c r="H93" i="3"/>
  <c r="L93" i="3" s="1"/>
  <c r="C106" i="1" l="1"/>
  <c r="D106" i="1"/>
  <c r="B107" i="1" s="1"/>
  <c r="E93" i="3"/>
  <c r="E91" i="4"/>
  <c r="D117" i="4"/>
  <c r="C116" i="3"/>
  <c r="B118" i="4" l="1"/>
  <c r="F118" i="4" s="1"/>
  <c r="H117" i="4"/>
  <c r="E117" i="4" s="1"/>
  <c r="C107" i="1"/>
  <c r="D107" i="1"/>
  <c r="B108" i="1" s="1"/>
  <c r="C118" i="4"/>
  <c r="G118" i="4" s="1"/>
  <c r="F92" i="4"/>
  <c r="H92" i="4"/>
  <c r="L92" i="4" s="1"/>
  <c r="D116" i="3"/>
  <c r="B117" i="3" s="1"/>
  <c r="F94" i="3"/>
  <c r="H94" i="3"/>
  <c r="L94" i="3" s="1"/>
  <c r="J92" i="4" l="1"/>
  <c r="J94" i="3"/>
  <c r="C108" i="1"/>
  <c r="D108" i="1"/>
  <c r="B109" i="1" s="1"/>
  <c r="D118" i="4"/>
  <c r="G92" i="4"/>
  <c r="K92" i="4" s="1"/>
  <c r="C117" i="3"/>
  <c r="G94" i="3"/>
  <c r="K94" i="3" s="1"/>
  <c r="B119" i="4" l="1"/>
  <c r="F119" i="4" s="1"/>
  <c r="H118" i="4"/>
  <c r="E118" i="4" s="1"/>
  <c r="E92" i="4"/>
  <c r="C109" i="1"/>
  <c r="D109" i="1" s="1"/>
  <c r="B110" i="1" s="1"/>
  <c r="E94" i="3"/>
  <c r="C119" i="4"/>
  <c r="G119" i="4" s="1"/>
  <c r="F93" i="4"/>
  <c r="D117" i="3"/>
  <c r="B118" i="3" s="1"/>
  <c r="C110" i="1" l="1"/>
  <c r="D110" i="1"/>
  <c r="B111" i="1" s="1"/>
  <c r="J93" i="4"/>
  <c r="D119" i="4"/>
  <c r="G93" i="4"/>
  <c r="K93" i="4" s="1"/>
  <c r="H93" i="4"/>
  <c r="L93" i="4" s="1"/>
  <c r="C118" i="3"/>
  <c r="C111" i="1" l="1"/>
  <c r="D111" i="1"/>
  <c r="B112" i="1" s="1"/>
  <c r="B120" i="4"/>
  <c r="F120" i="4" s="1"/>
  <c r="H119" i="4"/>
  <c r="E119" i="4" s="1"/>
  <c r="E93" i="4"/>
  <c r="C120" i="4"/>
  <c r="G120" i="4" s="1"/>
  <c r="D118" i="3"/>
  <c r="B119" i="3" s="1"/>
  <c r="C112" i="1" l="1"/>
  <c r="D112" i="1" s="1"/>
  <c r="B113" i="1" s="1"/>
  <c r="D120" i="4"/>
  <c r="F94" i="4"/>
  <c r="H94" i="4"/>
  <c r="L94" i="4" s="1"/>
  <c r="C119" i="3"/>
  <c r="C113" i="1" l="1"/>
  <c r="D113" i="1"/>
  <c r="B114" i="1" s="1"/>
  <c r="J94" i="4"/>
  <c r="B121" i="4"/>
  <c r="F121" i="4" s="1"/>
  <c r="H120" i="4"/>
  <c r="E120" i="4" s="1"/>
  <c r="C121" i="4"/>
  <c r="G121" i="4" s="1"/>
  <c r="D121" i="4"/>
  <c r="H121" i="4" s="1"/>
  <c r="G94" i="4"/>
  <c r="K94" i="4" s="1"/>
  <c r="D119" i="3"/>
  <c r="B120" i="3" s="1"/>
  <c r="E121" i="4" l="1"/>
  <c r="E94" i="4"/>
  <c r="C114" i="1"/>
  <c r="D114" i="1"/>
  <c r="B115" i="1" s="1"/>
  <c r="B122" i="4"/>
  <c r="F122" i="4" s="1"/>
  <c r="F95" i="4"/>
  <c r="C120" i="3"/>
  <c r="J95" i="4" l="1"/>
  <c r="C115" i="1"/>
  <c r="D115" i="1"/>
  <c r="B116" i="1" s="1"/>
  <c r="C122" i="4"/>
  <c r="G122" i="4" s="1"/>
  <c r="G95" i="4"/>
  <c r="K95" i="4" s="1"/>
  <c r="H95" i="4"/>
  <c r="L95" i="4" s="1"/>
  <c r="D120" i="3"/>
  <c r="B121" i="3" s="1"/>
  <c r="C116" i="1" l="1"/>
  <c r="D116" i="1"/>
  <c r="B117" i="1" s="1"/>
  <c r="E95" i="4"/>
  <c r="D122" i="4"/>
  <c r="C121" i="3"/>
  <c r="B123" i="4" l="1"/>
  <c r="F123" i="4" s="1"/>
  <c r="H122" i="4"/>
  <c r="E122" i="4" s="1"/>
  <c r="C117" i="1"/>
  <c r="D117" i="1"/>
  <c r="B118" i="1" s="1"/>
  <c r="C123" i="4"/>
  <c r="G123" i="4" s="1"/>
  <c r="F96" i="4"/>
  <c r="D121" i="3"/>
  <c r="B122" i="3" s="1"/>
  <c r="J96" i="4" l="1"/>
  <c r="C118" i="1"/>
  <c r="D118" i="1"/>
  <c r="B119" i="1" s="1"/>
  <c r="D123" i="4"/>
  <c r="G96" i="4"/>
  <c r="K96" i="4" s="1"/>
  <c r="H96" i="4"/>
  <c r="L96" i="4" s="1"/>
  <c r="C122" i="3"/>
  <c r="E96" i="4" l="1"/>
  <c r="B124" i="4"/>
  <c r="F124" i="4" s="1"/>
  <c r="H123" i="4"/>
  <c r="E123" i="4" s="1"/>
  <c r="C119" i="1"/>
  <c r="D119" i="1" s="1"/>
  <c r="B120" i="1" s="1"/>
  <c r="C124" i="4"/>
  <c r="G124" i="4" s="1"/>
  <c r="D122" i="3"/>
  <c r="B123" i="3" s="1"/>
  <c r="C120" i="1" l="1"/>
  <c r="D120" i="1"/>
  <c r="B121" i="1" s="1"/>
  <c r="C121" i="1" s="1"/>
  <c r="D124" i="4"/>
  <c r="C123" i="3"/>
  <c r="D123" i="3"/>
  <c r="D121" i="1" l="1"/>
  <c r="B122" i="1" s="1"/>
  <c r="B125" i="4"/>
  <c r="F125" i="4" s="1"/>
  <c r="H124" i="4"/>
  <c r="E124" i="4" s="1"/>
  <c r="C125" i="4"/>
  <c r="G125" i="4" s="1"/>
  <c r="D125" i="4"/>
  <c r="H125" i="4" s="1"/>
  <c r="B124" i="3"/>
  <c r="C122" i="1"/>
  <c r="E125" i="4" l="1"/>
  <c r="B126" i="4"/>
  <c r="F126" i="4" s="1"/>
  <c r="C124" i="3"/>
  <c r="D122" i="1"/>
  <c r="B123" i="1" s="1"/>
  <c r="C126" i="4" l="1"/>
  <c r="G126" i="4" s="1"/>
  <c r="D124" i="3"/>
  <c r="B125" i="3" s="1"/>
  <c r="C123" i="1"/>
  <c r="D126" i="4" l="1"/>
  <c r="C125" i="3"/>
  <c r="D125" i="3"/>
  <c r="D123" i="1"/>
  <c r="B124" i="1" s="1"/>
  <c r="B127" i="4" l="1"/>
  <c r="F127" i="4" s="1"/>
  <c r="H126" i="4"/>
  <c r="E126" i="4" s="1"/>
  <c r="C127" i="4"/>
  <c r="G127" i="4" s="1"/>
  <c r="B126" i="3"/>
  <c r="C124" i="1"/>
  <c r="D127" i="4" l="1"/>
  <c r="C126" i="3"/>
  <c r="D126" i="3"/>
  <c r="D124" i="1"/>
  <c r="B125" i="1" s="1"/>
  <c r="B128" i="4" l="1"/>
  <c r="F128" i="4" s="1"/>
  <c r="H127" i="4"/>
  <c r="E127" i="4" s="1"/>
  <c r="C128" i="4"/>
  <c r="G128" i="4" s="1"/>
  <c r="B127" i="3"/>
  <c r="C125" i="1"/>
  <c r="D128" i="4" l="1"/>
  <c r="C127" i="3"/>
  <c r="D125" i="1"/>
  <c r="B126" i="1" s="1"/>
  <c r="B129" i="4" l="1"/>
  <c r="F129" i="4" s="1"/>
  <c r="H128" i="4"/>
  <c r="E128" i="4" s="1"/>
  <c r="C129" i="4"/>
  <c r="G129" i="4" s="1"/>
  <c r="D127" i="3"/>
  <c r="B128" i="3" s="1"/>
  <c r="C126" i="1"/>
  <c r="D129" i="4" l="1"/>
  <c r="C128" i="3"/>
  <c r="D126" i="1"/>
  <c r="B127" i="1" s="1"/>
  <c r="B130" i="4" l="1"/>
  <c r="F130" i="4" s="1"/>
  <c r="H129" i="4"/>
  <c r="E129" i="4" s="1"/>
  <c r="C130" i="4"/>
  <c r="G130" i="4" s="1"/>
  <c r="D128" i="3"/>
  <c r="B129" i="3" s="1"/>
  <c r="C127" i="1"/>
  <c r="D130" i="4" l="1"/>
  <c r="C129" i="3"/>
  <c r="D129" i="3" s="1"/>
  <c r="D127" i="1"/>
  <c r="B128" i="1" s="1"/>
  <c r="B131" i="4" l="1"/>
  <c r="F131" i="4" s="1"/>
  <c r="H130" i="4"/>
  <c r="E130" i="4" s="1"/>
  <c r="C131" i="4"/>
  <c r="G131" i="4" s="1"/>
  <c r="B130" i="3"/>
  <c r="C128" i="1"/>
  <c r="D131" i="4" l="1"/>
  <c r="C130" i="3"/>
  <c r="D128" i="1"/>
  <c r="B129" i="1" s="1"/>
  <c r="B132" i="4" l="1"/>
  <c r="F132" i="4" s="1"/>
  <c r="H131" i="4"/>
  <c r="E131" i="4" s="1"/>
  <c r="C132" i="4"/>
  <c r="G132" i="4" s="1"/>
  <c r="D130" i="3"/>
  <c r="B131" i="3" s="1"/>
  <c r="C129" i="1"/>
  <c r="D132" i="4" l="1"/>
  <c r="C131" i="3"/>
  <c r="D131" i="3"/>
  <c r="D129" i="1"/>
  <c r="B130" i="1" s="1"/>
  <c r="B133" i="4" l="1"/>
  <c r="F133" i="4" s="1"/>
  <c r="H132" i="4"/>
  <c r="E132" i="4" s="1"/>
  <c r="C133" i="4"/>
  <c r="G133" i="4" s="1"/>
  <c r="B132" i="3"/>
  <c r="C130" i="1"/>
  <c r="D133" i="4" l="1"/>
  <c r="C132" i="3"/>
  <c r="D130" i="1"/>
  <c r="B131" i="1" s="1"/>
  <c r="B134" i="4" l="1"/>
  <c r="F134" i="4" s="1"/>
  <c r="H133" i="4"/>
  <c r="E133" i="4" s="1"/>
  <c r="C134" i="4"/>
  <c r="G134" i="4" s="1"/>
  <c r="D132" i="3"/>
  <c r="B133" i="3" s="1"/>
  <c r="C131" i="1"/>
  <c r="D134" i="4" l="1"/>
  <c r="C133" i="3"/>
  <c r="D131" i="1"/>
  <c r="B132" i="1" s="1"/>
  <c r="B135" i="4" l="1"/>
  <c r="F135" i="4" s="1"/>
  <c r="H134" i="4"/>
  <c r="E134" i="4" s="1"/>
  <c r="C135" i="4"/>
  <c r="G135" i="4" s="1"/>
  <c r="D133" i="3"/>
  <c r="B134" i="3" s="1"/>
  <c r="C132" i="1"/>
  <c r="D135" i="4" l="1"/>
  <c r="C134" i="3"/>
  <c r="D134" i="3" s="1"/>
  <c r="D132" i="1"/>
  <c r="B133" i="1" s="1"/>
  <c r="B136" i="4" l="1"/>
  <c r="F136" i="4" s="1"/>
  <c r="H135" i="4"/>
  <c r="E135" i="4" s="1"/>
  <c r="C136" i="4"/>
  <c r="G136" i="4" s="1"/>
  <c r="B135" i="3"/>
  <c r="C133" i="1"/>
  <c r="D136" i="4" l="1"/>
  <c r="C135" i="3"/>
  <c r="D133" i="1"/>
  <c r="B134" i="1" s="1"/>
  <c r="B137" i="4" l="1"/>
  <c r="F137" i="4" s="1"/>
  <c r="H136" i="4"/>
  <c r="E136" i="4" s="1"/>
  <c r="C137" i="4"/>
  <c r="G137" i="4" s="1"/>
  <c r="D135" i="3"/>
  <c r="B136" i="3" s="1"/>
  <c r="C134" i="1"/>
  <c r="D134" i="1"/>
  <c r="D137" i="4" l="1"/>
  <c r="C136" i="3"/>
  <c r="B135" i="1"/>
  <c r="B138" i="4" l="1"/>
  <c r="F138" i="4" s="1"/>
  <c r="H137" i="4"/>
  <c r="E137" i="4" s="1"/>
  <c r="C138" i="4"/>
  <c r="G138" i="4" s="1"/>
  <c r="D136" i="3"/>
  <c r="B137" i="3" s="1"/>
  <c r="C135" i="1"/>
  <c r="D138" i="4" l="1"/>
  <c r="C137" i="3"/>
  <c r="D135" i="1"/>
  <c r="B136" i="1" s="1"/>
  <c r="B139" i="4" l="1"/>
  <c r="F139" i="4" s="1"/>
  <c r="H138" i="4"/>
  <c r="E138" i="4" s="1"/>
  <c r="C139" i="4"/>
  <c r="G139" i="4" s="1"/>
  <c r="D137" i="3"/>
  <c r="B138" i="3" s="1"/>
  <c r="C136" i="1"/>
  <c r="D139" i="4" l="1"/>
  <c r="C138" i="3"/>
  <c r="D138" i="3" s="1"/>
  <c r="D136" i="1"/>
  <c r="B137" i="1" s="1"/>
  <c r="B140" i="4" l="1"/>
  <c r="F140" i="4" s="1"/>
  <c r="H139" i="4"/>
  <c r="E139" i="4" s="1"/>
  <c r="C140" i="4"/>
  <c r="G140" i="4" s="1"/>
  <c r="B139" i="3"/>
  <c r="C137" i="1"/>
  <c r="D140" i="4" l="1"/>
  <c r="C139" i="3"/>
  <c r="D139" i="3" s="1"/>
  <c r="D137" i="1"/>
  <c r="B138" i="1" s="1"/>
  <c r="B141" i="4" l="1"/>
  <c r="F141" i="4" s="1"/>
  <c r="H140" i="4"/>
  <c r="E140" i="4" s="1"/>
  <c r="C141" i="4"/>
  <c r="G141" i="4" s="1"/>
  <c r="B140" i="3"/>
  <c r="C138" i="1"/>
  <c r="D141" i="4" l="1"/>
  <c r="C140" i="3"/>
  <c r="D138" i="1"/>
  <c r="B139" i="1" s="1"/>
  <c r="B142" i="4" l="1"/>
  <c r="F142" i="4" s="1"/>
  <c r="H141" i="4"/>
  <c r="E141" i="4" s="1"/>
  <c r="C142" i="4"/>
  <c r="G142" i="4" s="1"/>
  <c r="D140" i="3"/>
  <c r="B141" i="3" s="1"/>
  <c r="C139" i="1"/>
  <c r="D142" i="4" l="1"/>
  <c r="C141" i="3"/>
  <c r="D139" i="1"/>
  <c r="B140" i="1" s="1"/>
  <c r="B143" i="4" l="1"/>
  <c r="F143" i="4" s="1"/>
  <c r="H142" i="4"/>
  <c r="E142" i="4" s="1"/>
  <c r="C143" i="4"/>
  <c r="G143" i="4" s="1"/>
  <c r="D141" i="3"/>
  <c r="B142" i="3" s="1"/>
  <c r="C140" i="1"/>
  <c r="D143" i="4" l="1"/>
  <c r="C142" i="3"/>
  <c r="D142" i="3" s="1"/>
  <c r="D140" i="1"/>
  <c r="B141" i="1" s="1"/>
  <c r="B144" i="4" l="1"/>
  <c r="F144" i="4" s="1"/>
  <c r="H143" i="4"/>
  <c r="E143" i="4" s="1"/>
  <c r="C144" i="4"/>
  <c r="G144" i="4" s="1"/>
  <c r="B143" i="3"/>
  <c r="C141" i="1"/>
  <c r="D144" i="4" l="1"/>
  <c r="C143" i="3"/>
  <c r="D143" i="3"/>
  <c r="D141" i="1"/>
  <c r="B142" i="1" s="1"/>
  <c r="B145" i="4" l="1"/>
  <c r="F145" i="4" s="1"/>
  <c r="H144" i="4"/>
  <c r="E144" i="4" s="1"/>
  <c r="C145" i="4"/>
  <c r="G145" i="4" s="1"/>
  <c r="B144" i="3"/>
  <c r="C142" i="1"/>
  <c r="D145" i="4" l="1"/>
  <c r="C144" i="3"/>
  <c r="D142" i="1"/>
  <c r="B143" i="1" s="1"/>
  <c r="B146" i="4" l="1"/>
  <c r="F146" i="4" s="1"/>
  <c r="H145" i="4"/>
  <c r="E145" i="4" s="1"/>
  <c r="C146" i="4"/>
  <c r="G146" i="4" s="1"/>
  <c r="D144" i="3"/>
  <c r="B145" i="3" s="1"/>
  <c r="C143" i="1"/>
  <c r="D146" i="4" l="1"/>
  <c r="C145" i="3"/>
  <c r="D145" i="3"/>
  <c r="D143" i="1"/>
  <c r="B144" i="1" s="1"/>
  <c r="B147" i="4" l="1"/>
  <c r="F147" i="4" s="1"/>
  <c r="H146" i="4"/>
  <c r="E146" i="4" s="1"/>
  <c r="C147" i="4"/>
  <c r="G147" i="4" s="1"/>
  <c r="B146" i="3"/>
  <c r="C144" i="1"/>
  <c r="D147" i="4" l="1"/>
  <c r="C146" i="3"/>
  <c r="D146" i="3"/>
  <c r="D144" i="1"/>
  <c r="B145" i="1" s="1"/>
  <c r="B148" i="4" l="1"/>
  <c r="F148" i="4" s="1"/>
  <c r="H147" i="4"/>
  <c r="E147" i="4" s="1"/>
  <c r="C148" i="4"/>
  <c r="G148" i="4" s="1"/>
  <c r="B147" i="3"/>
  <c r="C145" i="1"/>
  <c r="D148" i="4" l="1"/>
  <c r="C147" i="3"/>
  <c r="D147" i="3" s="1"/>
  <c r="D145" i="1"/>
  <c r="B146" i="1" s="1"/>
  <c r="B149" i="4" l="1"/>
  <c r="F149" i="4" s="1"/>
  <c r="H148" i="4"/>
  <c r="E148" i="4" s="1"/>
  <c r="C149" i="4"/>
  <c r="C146" i="1"/>
  <c r="D146" i="1"/>
  <c r="D149" i="4" l="1"/>
  <c r="H149" i="4" s="1"/>
  <c r="G149" i="4"/>
  <c r="E149" i="4" s="1"/>
</calcChain>
</file>

<file path=xl/sharedStrings.xml><?xml version="1.0" encoding="utf-8"?>
<sst xmlns="http://schemas.openxmlformats.org/spreadsheetml/2006/main" count="46" uniqueCount="23">
  <si>
    <t>Iteration #</t>
  </si>
  <si>
    <t>x1</t>
  </si>
  <si>
    <t>x2</t>
  </si>
  <si>
    <t>x3</t>
  </si>
  <si>
    <t>εa1</t>
  </si>
  <si>
    <t>εa2</t>
  </si>
  <si>
    <t>εa3</t>
  </si>
  <si>
    <t>Convergence -&gt;</t>
  </si>
  <si>
    <t>CHECK LHS</t>
  </si>
  <si>
    <t>Row1</t>
  </si>
  <si>
    <t>Row2</t>
  </si>
  <si>
    <t>Row3</t>
  </si>
  <si>
    <t>RHS</t>
  </si>
  <si>
    <t>Original Equations (before pivoting)</t>
  </si>
  <si>
    <t>Previous answer</t>
  </si>
  <si>
    <t>** DOES NOT CONVERGE UNLESS WE GUESS THE CORRECT SOLUTION ON THE FIRST GUESS</t>
  </si>
  <si>
    <t>Convergence (Sum) -&gt;</t>
  </si>
  <si>
    <t xml:space="preserve">A more conservative criterion, </t>
  </si>
  <si>
    <t xml:space="preserve">requires summ of all errors to be </t>
  </si>
  <si>
    <t>below tolerance.</t>
  </si>
  <si>
    <t>Requires each individual error</t>
  </si>
  <si>
    <t>to be below tolerance.</t>
  </si>
  <si>
    <t>Conv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</si>
</sst>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1" fontId="0" fillId="0" borderId="0" xfId="0" applyNumberFormat="1"/>
    <xf numFmtId="164" fontId="0" fillId="2" borderId="2" xfId="0" applyNumberForma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2" fontId="0" fillId="0" borderId="10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0" fontId="0" fillId="0" borderId="10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1" fontId="0" fillId="3" borderId="0" xfId="0" applyNumberFormat="1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'Gauss-Seidel Example'!$A$11:$A$93</c:f>
              <c:numCache>
                <c:formatCode>General</c:formatCode>
                <c:ptCount val="8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</c:numCache>
            </c:numRef>
          </c:xVal>
          <c:yVal>
            <c:numRef>
              <c:f>'Gauss-Seidel Example'!$K$11:$K$93</c:f>
              <c:numCache>
                <c:formatCode>0.00E+00</c:formatCode>
                <c:ptCount val="83"/>
                <c:pt idx="1">
                  <c:v>100</c:v>
                </c:pt>
                <c:pt idx="2">
                  <c:v>500.00000000000017</c:v>
                </c:pt>
                <c:pt idx="3">
                  <c:v>76</c:v>
                </c:pt>
                <c:pt idx="4">
                  <c:v>28.909952606635102</c:v>
                </c:pt>
                <c:pt idx="5">
                  <c:v>19.208679004467108</c:v>
                </c:pt>
                <c:pt idx="6">
                  <c:v>12.855686347205483</c:v>
                </c:pt>
                <c:pt idx="7">
                  <c:v>9.0623024513591464</c:v>
                </c:pt>
                <c:pt idx="8">
                  <c:v>6.5558168790679856</c:v>
                </c:pt>
                <c:pt idx="9">
                  <c:v>4.8309951580042467</c:v>
                </c:pt>
                <c:pt idx="10">
                  <c:v>3.6057139750985847</c:v>
                </c:pt>
                <c:pt idx="11">
                  <c:v>2.7160475703420559</c:v>
                </c:pt>
                <c:pt idx="12">
                  <c:v>2.0596977481816343</c:v>
                </c:pt>
                <c:pt idx="13">
                  <c:v>1.5697724208113191</c:v>
                </c:pt>
                <c:pt idx="14">
                  <c:v>1.2008659754717264</c:v>
                </c:pt>
                <c:pt idx="15">
                  <c:v>0.92125476192654343</c:v>
                </c:pt>
                <c:pt idx="16">
                  <c:v>0.70826786934800934</c:v>
                </c:pt>
                <c:pt idx="17">
                  <c:v>0.54541497497429559</c:v>
                </c:pt>
                <c:pt idx="18">
                  <c:v>0.42053442859465112</c:v>
                </c:pt>
                <c:pt idx="19">
                  <c:v>0.32455957630497767</c:v>
                </c:pt>
                <c:pt idx="20">
                  <c:v>0.25067389305493376</c:v>
                </c:pt>
                <c:pt idx="21">
                  <c:v>0.19371876324730936</c:v>
                </c:pt>
                <c:pt idx="22">
                  <c:v>0.14977021874950908</c:v>
                </c:pt>
                <c:pt idx="23">
                  <c:v>0.11583153997166776</c:v>
                </c:pt>
                <c:pt idx="24">
                  <c:v>8.9607055190441293E-2</c:v>
                </c:pt>
                <c:pt idx="25">
                  <c:v>6.9333910423998862E-2</c:v>
                </c:pt>
                <c:pt idx="26">
                  <c:v>5.3655879219623809E-2</c:v>
                </c:pt>
                <c:pt idx="27">
                  <c:v>4.1528058910180743E-2</c:v>
                </c:pt>
                <c:pt idx="28">
                  <c:v>3.2144503008154898E-2</c:v>
                </c:pt>
                <c:pt idx="29">
                  <c:v>2.4883034637096929E-2</c:v>
                </c:pt>
                <c:pt idx="30">
                  <c:v>1.926302044360766E-2</c:v>
                </c:pt>
                <c:pt idx="31">
                  <c:v>1.491297611321752E-2</c:v>
                </c:pt>
                <c:pt idx="32">
                  <c:v>1.1545663210998921E-2</c:v>
                </c:pt>
                <c:pt idx="33">
                  <c:v>8.9389142199390956E-3</c:v>
                </c:pt>
                <c:pt idx="34">
                  <c:v>6.9208497280415825E-3</c:v>
                </c:pt>
                <c:pt idx="35">
                  <c:v>5.3584706355124028E-3</c:v>
                </c:pt>
                <c:pt idx="36">
                  <c:v>4.1488481934567074E-3</c:v>
                </c:pt>
                <c:pt idx="37">
                  <c:v>3.212316295964929E-3</c:v>
                </c:pt>
                <c:pt idx="38">
                  <c:v>2.487208577000384E-3</c:v>
                </c:pt>
                <c:pt idx="39">
                  <c:v>1.9257883305996999E-3</c:v>
                </c:pt>
                <c:pt idx="40">
                  <c:v>1.4911000427939027E-3</c:v>
                </c:pt>
                <c:pt idx="41">
                  <c:v>1.1545333335339226E-3</c:v>
                </c:pt>
                <c:pt idx="42">
                  <c:v>8.9393779996554024E-4</c:v>
                </c:pt>
                <c:pt idx="43">
                  <c:v>6.9216399345350347E-4</c:v>
                </c:pt>
                <c:pt idx="44">
                  <c:v>5.3593409104133317E-4</c:v>
                </c:pt>
                <c:pt idx="45">
                  <c:v>4.1496769569589941E-4</c:v>
                </c:pt>
                <c:pt idx="46">
                  <c:v>3.2130508706406042E-4</c:v>
                </c:pt>
                <c:pt idx="47">
                  <c:v>2.4878330261683554E-4</c:v>
                </c:pt>
                <c:pt idx="48">
                  <c:v>1.9263052131659328E-4</c:v>
                </c:pt>
                <c:pt idx="49">
                  <c:v>1.4915202702948062E-4</c:v>
                </c:pt>
                <c:pt idx="50">
                  <c:v>1.1548707082776447E-4</c:v>
                </c:pt>
                <c:pt idx="51">
                  <c:v>8.9420621808006853E-5</c:v>
                </c:pt>
                <c:pt idx="52">
                  <c:v>6.9237613870803312E-5</c:v>
                </c:pt>
                <c:pt idx="53">
                  <c:v>5.3610093859129314E-5</c:v>
                </c:pt>
                <c:pt idx="54">
                  <c:v>4.150984341958218E-5</c:v>
                </c:pt>
                <c:pt idx="55">
                  <c:v>3.2140724581411263E-5</c:v>
                </c:pt>
                <c:pt idx="56">
                  <c:v>2.4886296020285678E-5</c:v>
                </c:pt>
                <c:pt idx="57">
                  <c:v>1.9269253340719765E-5</c:v>
                </c:pt>
                <c:pt idx="58">
                  <c:v>1.4920024269815122E-5</c:v>
                </c:pt>
                <c:pt idx="59">
                  <c:v>1.1552452410002119E-5</c:v>
                </c:pt>
                <c:pt idx="60">
                  <c:v>8.9449693344802413E-6</c:v>
                </c:pt>
                <c:pt idx="61">
                  <c:v>6.9260167070711169E-6</c:v>
                </c:pt>
                <c:pt idx="62">
                  <c:v>5.3627582359666619E-6</c:v>
                </c:pt>
                <c:pt idx="63">
                  <c:v>4.1523400193385926E-6</c:v>
                </c:pt>
                <c:pt idx="64">
                  <c:v>3.2151230560168434E-6</c:v>
                </c:pt>
                <c:pt idx="65">
                  <c:v>2.489443652878334E-6</c:v>
                </c:pt>
                <c:pt idx="66">
                  <c:v>1.9275559424215793E-6</c:v>
                </c:pt>
                <c:pt idx="67">
                  <c:v>1.4924909073386906E-6</c:v>
                </c:pt>
                <c:pt idx="68">
                  <c:v>1.1556235982200048E-6</c:v>
                </c:pt>
                <c:pt idx="69">
                  <c:v>8.9478996960703445E-7</c:v>
                </c:pt>
                <c:pt idx="70">
                  <c:v>6.9282861096195169E-7</c:v>
                </c:pt>
                <c:pt idx="71">
                  <c:v>5.364515486185678E-7</c:v>
                </c:pt>
                <c:pt idx="72">
                  <c:v>4.1537011089677498E-7</c:v>
                </c:pt>
                <c:pt idx="73">
                  <c:v>3.2161769158561839E-7</c:v>
                </c:pt>
                <c:pt idx="74">
                  <c:v>2.4902593533513539E-7</c:v>
                </c:pt>
                <c:pt idx="75">
                  <c:v>1.9281878443778063E-7</c:v>
                </c:pt>
                <c:pt idx="76">
                  <c:v>1.4929804136170094E-7</c:v>
                </c:pt>
                <c:pt idx="77">
                  <c:v>1.1560024094960813E-7</c:v>
                </c:pt>
                <c:pt idx="78">
                  <c:v>8.9508334352790775E-8</c:v>
                </c:pt>
                <c:pt idx="79">
                  <c:v>6.930558365915942E-8</c:v>
                </c:pt>
                <c:pt idx="80">
                  <c:v>5.3662741016347196E-8</c:v>
                </c:pt>
                <c:pt idx="81">
                  <c:v>4.1550629662874356E-8</c:v>
                </c:pt>
                <c:pt idx="82">
                  <c:v>3.2172309296621357E-8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A-414C-AB4E-6E151A2A6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140672"/>
        <c:axId val="1663181456"/>
      </c:scatterChart>
      <c:valAx>
        <c:axId val="166314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81456"/>
        <c:crosses val="autoZero"/>
        <c:crossBetween val="midCat"/>
      </c:valAx>
      <c:valAx>
        <c:axId val="16631814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4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635244</xdr:colOff>
      <xdr:row>0</xdr:row>
      <xdr:rowOff>38100</xdr:rowOff>
    </xdr:from>
    <xdr:to>
      <xdr:col>2</xdr:col>
      <xdr:colOff>173195</xdr:colOff>
      <xdr:row>3</xdr:row>
      <xdr:rowOff>125438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244" y="38100"/>
          <a:ext cx="1633451" cy="6588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132485</xdr:rowOff>
    </xdr:from>
    <xdr:to>
      <xdr:col>4</xdr:col>
      <xdr:colOff>513585</xdr:colOff>
      <xdr:row>5</xdr:row>
      <xdr:rowOff>129541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958" t="1" b="18221"/>
        <a:stretch>
          <a:fillRect/>
        </a:stretch>
      </xdr:blipFill>
      <xdr:spPr>
        <a:xfrm>
          <a:off x="0" y="681125"/>
          <a:ext cx="4811265" cy="362816"/>
        </a:xfrm>
        <a:prstGeom prst="rect">
          <a:avLst/>
        </a:prstGeom>
      </xdr:spPr>
    </xdr:pic>
    <xdr:clientData/>
  </xdr:twoCellAnchor>
  <xdr:twoCellAnchor>
    <xdr:from>
      <xdr:col>15</xdr:col>
      <xdr:colOff>114300</xdr:colOff>
      <xdr:row>9</xdr:row>
      <xdr:rowOff>147637</xdr:rowOff>
    </xdr:from>
    <xdr:to>
      <xdr:col>22</xdr:col>
      <xdr:colOff>419100</xdr:colOff>
      <xdr:row>24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230FF-57EA-43D1-9927-4F2BFCEF4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171450</xdr:rowOff>
    </xdr:from>
    <xdr:to>
      <xdr:col>2</xdr:col>
      <xdr:colOff>798817</xdr:colOff>
      <xdr:row>7</xdr:row>
      <xdr:rowOff>106028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71450"/>
          <a:ext cx="2780017" cy="1268078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990600</xdr:colOff>
      <xdr:row>1</xdr:row>
      <xdr:rowOff>76200</xdr:rowOff>
    </xdr:from>
    <xdr:to>
      <xdr:col>7</xdr:col>
      <xdr:colOff>487613</xdr:colOff>
      <xdr:row>5</xdr:row>
      <xdr:rowOff>173811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6100" y="266700"/>
          <a:ext cx="3621338" cy="859611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171450</xdr:rowOff>
    </xdr:from>
    <xdr:to>
      <xdr:col>11</xdr:col>
      <xdr:colOff>561211</xdr:colOff>
      <xdr:row>8</xdr:row>
      <xdr:rowOff>49135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50" y="171450"/>
          <a:ext cx="2218561" cy="14016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</xdr:row>
      <xdr:rowOff>47625</xdr:rowOff>
    </xdr:from>
    <xdr:to>
      <xdr:col>3</xdr:col>
      <xdr:colOff>32628</xdr:colOff>
      <xdr:row>6</xdr:row>
      <xdr:rowOff>36658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38125"/>
          <a:ext cx="2804403" cy="951058"/>
        </a:xfrm>
        <a:prstGeom prst="rect">
          <a:avLst/>
        </a:prstGeom>
      </xdr:spPr>
    </xdr:pic>
    <xdr:clientData/>
  </xdr:twoCellAnchor>
  <xdr:twoCellAnchor editAs="oneCell">
    <xdr:from>
      <xdr:col>3</xdr:col>
      <xdr:colOff>541401</xdr:colOff>
      <xdr:row>1</xdr:row>
      <xdr:rowOff>28575</xdr:rowOff>
    </xdr:from>
    <xdr:to>
      <xdr:col>6</xdr:col>
      <xdr:colOff>398099</xdr:colOff>
      <xdr:row>8</xdr:row>
      <xdr:rowOff>133561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4651" y="219075"/>
          <a:ext cx="2295098" cy="1448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146"/>
  <sheetViews>
    <sheetView tabSelected="1" workbookViewId="0">
      <selection activeCell="J10" sqref="J10"/>
    </sheetView>
  </sheetViews>
  <sheetFormatPr defaultRowHeight="14.4" x14ac:dyDescent="0.3"/>
  <cols>
    <col min="1" max="4" width="15.6640625" customWidth="1"/>
    <col min="5" max="5" width="12.109375" customWidth="1"/>
    <col min="6" max="8" width="8.5546875" bestFit="1" customWidth="1"/>
    <col min="9" max="9" width="2.6640625" customWidth="1"/>
    <col min="10" max="10" width="11.21875" customWidth="1"/>
    <col min="11" max="13" width="9.5546875" bestFit="1" customWidth="1"/>
  </cols>
  <sheetData>
    <row r="4" spans="1:13" x14ac:dyDescent="0.3">
      <c r="F4" t="s">
        <v>20</v>
      </c>
      <c r="K4" t="s">
        <v>17</v>
      </c>
    </row>
    <row r="5" spans="1:13" x14ac:dyDescent="0.3">
      <c r="F5" t="s">
        <v>21</v>
      </c>
      <c r="K5" t="s">
        <v>18</v>
      </c>
    </row>
    <row r="6" spans="1:13" x14ac:dyDescent="0.3">
      <c r="K6" t="s">
        <v>19</v>
      </c>
    </row>
    <row r="8" spans="1:13" x14ac:dyDescent="0.3">
      <c r="F8" t="s">
        <v>7</v>
      </c>
      <c r="H8" s="24">
        <v>9.9999999999999995E-7</v>
      </c>
      <c r="K8" t="s">
        <v>16</v>
      </c>
      <c r="M8" s="25">
        <v>9.9999999999999995E-7</v>
      </c>
    </row>
    <row r="9" spans="1:13" ht="15" thickBot="1" x14ac:dyDescent="0.35">
      <c r="E9" t="s">
        <v>22</v>
      </c>
      <c r="J9" t="s">
        <v>22</v>
      </c>
    </row>
    <row r="10" spans="1:13" ht="15" thickBot="1" x14ac:dyDescent="0.35">
      <c r="A10" s="5" t="s">
        <v>0</v>
      </c>
      <c r="B10" s="6" t="s">
        <v>1</v>
      </c>
      <c r="C10" s="6" t="s">
        <v>2</v>
      </c>
      <c r="D10" s="7" t="s">
        <v>3</v>
      </c>
      <c r="F10" s="1" t="s">
        <v>4</v>
      </c>
      <c r="G10" s="1" t="s">
        <v>5</v>
      </c>
      <c r="H10" s="1" t="s">
        <v>6</v>
      </c>
      <c r="I10" s="1"/>
      <c r="K10" s="1" t="s">
        <v>4</v>
      </c>
      <c r="L10" s="1" t="s">
        <v>5</v>
      </c>
      <c r="M10" s="1" t="s">
        <v>6</v>
      </c>
    </row>
    <row r="11" spans="1:13" x14ac:dyDescent="0.3">
      <c r="A11" s="4">
        <v>0</v>
      </c>
      <c r="B11" s="9">
        <v>1</v>
      </c>
      <c r="C11" s="9">
        <v>1</v>
      </c>
      <c r="D11" s="9">
        <v>1</v>
      </c>
    </row>
    <row r="12" spans="1:13" x14ac:dyDescent="0.3">
      <c r="A12" s="2">
        <v>1</v>
      </c>
      <c r="B12" s="3">
        <f>1/2*(3-C11-D11)</f>
        <v>0.5</v>
      </c>
      <c r="C12" s="3">
        <f>1/2*(6-B12+D11)</f>
        <v>3.25</v>
      </c>
      <c r="D12" s="3">
        <f>1/3*(-4-B12+C12)</f>
        <v>-0.41666666666666663</v>
      </c>
      <c r="E12" s="1" t="str">
        <f>IF(AND(F12&lt;$M$8,G12&lt;$M$8,H12&lt;$M$8),"Converged","-")</f>
        <v>-</v>
      </c>
      <c r="F12" s="8">
        <f>ABS((B12-B11)/B12)*100</f>
        <v>100</v>
      </c>
      <c r="G12" s="8">
        <f>ABS((C12-C11)/C12)*100</f>
        <v>69.230769230769226</v>
      </c>
      <c r="H12" s="8">
        <f>ABS((D12-D11)/D12)*100</f>
        <v>340</v>
      </c>
      <c r="I12" s="8"/>
      <c r="J12" s="1" t="str">
        <f t="shared" ref="J12" si="0">IF(SUM(K12:M12)&lt;$M$8,"Converged","-")</f>
        <v>-</v>
      </c>
      <c r="K12" s="8">
        <f t="shared" ref="K12" si="1">ABS((B12-B11)/B12)*100</f>
        <v>100</v>
      </c>
      <c r="L12" s="8">
        <f t="shared" ref="L12" si="2">ABS((C12-C11)/C12)*100</f>
        <v>69.230769230769226</v>
      </c>
      <c r="M12" s="8">
        <f t="shared" ref="M12" si="3">ABS((D12-D11)/D12)*100</f>
        <v>340</v>
      </c>
    </row>
    <row r="13" spans="1:13" x14ac:dyDescent="0.3">
      <c r="A13" s="2">
        <v>2</v>
      </c>
      <c r="B13" s="3">
        <f t="shared" ref="B13:B76" si="4">1/2*(3-C12-D12)</f>
        <v>8.3333333333333315E-2</v>
      </c>
      <c r="C13" s="3">
        <f t="shared" ref="C13:C76" si="5">1/2*(6-B13+D12)</f>
        <v>2.75</v>
      </c>
      <c r="D13" s="3">
        <f t="shared" ref="D13:D76" si="6">1/3*(-4-B13+C13)</f>
        <v>-0.44444444444444431</v>
      </c>
      <c r="E13" s="1" t="str">
        <f t="shared" ref="E13:E76" si="7">IF(AND(F13&lt;$M$8,G13&lt;$M$8,H13&lt;$M$8),"Converged","-")</f>
        <v>-</v>
      </c>
      <c r="F13" s="8">
        <f t="shared" ref="F13:F76" si="8">ABS((B13-B12)/B13)*100</f>
        <v>500.00000000000017</v>
      </c>
      <c r="G13" s="8">
        <f t="shared" ref="G13:G76" si="9">ABS((C13-C12)/C13)*100</f>
        <v>18.181818181818183</v>
      </c>
      <c r="H13" s="8">
        <f t="shared" ref="H13:H76" si="10">ABS((D13-D12)/D13)*100</f>
        <v>6.2499999999999796</v>
      </c>
      <c r="I13" s="8"/>
      <c r="J13" s="1" t="str">
        <f t="shared" ref="J13:J76" si="11">IF(SUM(K13:M13)&lt;$M$8,"Converged","-")</f>
        <v>-</v>
      </c>
      <c r="K13" s="8">
        <f t="shared" ref="K13:K76" si="12">ABS((B13-B12)/B13)*100</f>
        <v>500.00000000000017</v>
      </c>
      <c r="L13" s="8">
        <f t="shared" ref="L13:L76" si="13">ABS((C13-C12)/C13)*100</f>
        <v>18.181818181818183</v>
      </c>
      <c r="M13" s="8">
        <f t="shared" ref="M13:M76" si="14">ABS((D13-D12)/D13)*100</f>
        <v>6.2499999999999796</v>
      </c>
    </row>
    <row r="14" spans="1:13" x14ac:dyDescent="0.3">
      <c r="A14" s="2">
        <v>3</v>
      </c>
      <c r="B14" s="3">
        <f t="shared" si="4"/>
        <v>0.34722222222222215</v>
      </c>
      <c r="C14" s="3">
        <f t="shared" si="5"/>
        <v>2.6041666666666665</v>
      </c>
      <c r="D14" s="3">
        <f t="shared" si="6"/>
        <v>-0.5810185185185186</v>
      </c>
      <c r="E14" s="1" t="str">
        <f t="shared" si="7"/>
        <v>-</v>
      </c>
      <c r="F14" s="8">
        <f t="shared" si="8"/>
        <v>76</v>
      </c>
      <c r="G14" s="8">
        <f t="shared" si="9"/>
        <v>5.6000000000000059</v>
      </c>
      <c r="H14" s="8">
        <f t="shared" si="10"/>
        <v>23.505976095617566</v>
      </c>
      <c r="I14" s="8"/>
      <c r="J14" s="1" t="str">
        <f t="shared" si="11"/>
        <v>-</v>
      </c>
      <c r="K14" s="8">
        <f t="shared" si="12"/>
        <v>76</v>
      </c>
      <c r="L14" s="8">
        <f t="shared" si="13"/>
        <v>5.6000000000000059</v>
      </c>
      <c r="M14" s="8">
        <f t="shared" si="14"/>
        <v>23.505976095617566</v>
      </c>
    </row>
    <row r="15" spans="1:13" x14ac:dyDescent="0.3">
      <c r="A15" s="2">
        <v>4</v>
      </c>
      <c r="B15" s="3">
        <f t="shared" si="4"/>
        <v>0.48842592592592604</v>
      </c>
      <c r="C15" s="3">
        <f t="shared" si="5"/>
        <v>2.4652777777777777</v>
      </c>
      <c r="D15" s="3">
        <f t="shared" si="6"/>
        <v>-0.6743827160493826</v>
      </c>
      <c r="E15" s="1" t="str">
        <f t="shared" si="7"/>
        <v>-</v>
      </c>
      <c r="F15" s="8">
        <f t="shared" si="8"/>
        <v>28.909952606635102</v>
      </c>
      <c r="G15" s="8">
        <f t="shared" si="9"/>
        <v>5.6338028169014063</v>
      </c>
      <c r="H15" s="8">
        <f t="shared" si="10"/>
        <v>13.844393592677317</v>
      </c>
      <c r="I15" s="23"/>
      <c r="J15" s="1" t="str">
        <f t="shared" si="11"/>
        <v>-</v>
      </c>
      <c r="K15" s="8">
        <f t="shared" si="12"/>
        <v>28.909952606635102</v>
      </c>
      <c r="L15" s="8">
        <f t="shared" si="13"/>
        <v>5.6338028169014063</v>
      </c>
      <c r="M15" s="8">
        <f t="shared" si="14"/>
        <v>13.844393592677317</v>
      </c>
    </row>
    <row r="16" spans="1:13" x14ac:dyDescent="0.3">
      <c r="A16" s="2">
        <v>5</v>
      </c>
      <c r="B16" s="3">
        <f t="shared" si="4"/>
        <v>0.60455246913580241</v>
      </c>
      <c r="C16" s="3">
        <f t="shared" si="5"/>
        <v>2.3605324074074074</v>
      </c>
      <c r="D16" s="3">
        <f t="shared" si="6"/>
        <v>-0.74800668724279817</v>
      </c>
      <c r="E16" s="1" t="str">
        <f t="shared" si="7"/>
        <v>-</v>
      </c>
      <c r="F16" s="8">
        <f t="shared" si="8"/>
        <v>19.208679004467108</v>
      </c>
      <c r="G16" s="8">
        <f t="shared" si="9"/>
        <v>4.4373620985535611</v>
      </c>
      <c r="H16" s="8">
        <f t="shared" si="10"/>
        <v>9.8426889022608037</v>
      </c>
      <c r="I16" s="23"/>
      <c r="J16" s="1" t="str">
        <f t="shared" si="11"/>
        <v>-</v>
      </c>
      <c r="K16" s="8">
        <f t="shared" si="12"/>
        <v>19.208679004467108</v>
      </c>
      <c r="L16" s="8">
        <f t="shared" si="13"/>
        <v>4.4373620985535611</v>
      </c>
      <c r="M16" s="8">
        <f t="shared" si="14"/>
        <v>9.8426889022608037</v>
      </c>
    </row>
    <row r="17" spans="1:13" x14ac:dyDescent="0.3">
      <c r="A17" s="2">
        <v>6</v>
      </c>
      <c r="B17" s="3">
        <f t="shared" si="4"/>
        <v>0.69373713991769537</v>
      </c>
      <c r="C17" s="3">
        <f t="shared" si="5"/>
        <v>2.2791280864197532</v>
      </c>
      <c r="D17" s="3">
        <f t="shared" si="6"/>
        <v>-0.80486968449931418</v>
      </c>
      <c r="E17" s="1" t="str">
        <f t="shared" si="7"/>
        <v>-</v>
      </c>
      <c r="F17" s="8">
        <f t="shared" si="8"/>
        <v>12.855686347205483</v>
      </c>
      <c r="G17" s="8">
        <f t="shared" si="9"/>
        <v>3.5717308506136241</v>
      </c>
      <c r="H17" s="8">
        <f t="shared" si="10"/>
        <v>7.0648700468683696</v>
      </c>
      <c r="I17" s="23"/>
      <c r="J17" s="1" t="str">
        <f t="shared" si="11"/>
        <v>-</v>
      </c>
      <c r="K17" s="8">
        <f t="shared" si="12"/>
        <v>12.855686347205483</v>
      </c>
      <c r="L17" s="8">
        <f t="shared" si="13"/>
        <v>3.5717308506136241</v>
      </c>
      <c r="M17" s="8">
        <f t="shared" si="14"/>
        <v>7.0648700468683696</v>
      </c>
    </row>
    <row r="18" spans="1:13" x14ac:dyDescent="0.3">
      <c r="A18" s="2">
        <v>7</v>
      </c>
      <c r="B18" s="3">
        <f t="shared" si="4"/>
        <v>0.7628707990397805</v>
      </c>
      <c r="C18" s="3">
        <f t="shared" si="5"/>
        <v>2.2161297582304527</v>
      </c>
      <c r="D18" s="3">
        <f t="shared" si="6"/>
        <v>-0.84891368026977587</v>
      </c>
      <c r="E18" s="1" t="str">
        <f t="shared" si="7"/>
        <v>-</v>
      </c>
      <c r="F18" s="8">
        <f t="shared" si="8"/>
        <v>9.0623024513591464</v>
      </c>
      <c r="G18" s="8">
        <f t="shared" si="9"/>
        <v>2.8427183902626605</v>
      </c>
      <c r="H18" s="8">
        <f t="shared" si="10"/>
        <v>5.188277300050693</v>
      </c>
      <c r="I18" s="23"/>
      <c r="J18" s="1" t="str">
        <f t="shared" si="11"/>
        <v>-</v>
      </c>
      <c r="K18" s="8">
        <f t="shared" si="12"/>
        <v>9.0623024513591464</v>
      </c>
      <c r="L18" s="8">
        <f t="shared" si="13"/>
        <v>2.8427183902626605</v>
      </c>
      <c r="M18" s="8">
        <f t="shared" si="14"/>
        <v>5.188277300050693</v>
      </c>
    </row>
    <row r="19" spans="1:13" x14ac:dyDescent="0.3">
      <c r="A19" s="2">
        <v>8</v>
      </c>
      <c r="B19" s="3">
        <f t="shared" si="4"/>
        <v>0.81639196101966161</v>
      </c>
      <c r="C19" s="3">
        <f t="shared" si="5"/>
        <v>2.1673471793552812</v>
      </c>
      <c r="D19" s="3">
        <f t="shared" si="6"/>
        <v>-0.88301492722146002</v>
      </c>
      <c r="E19" s="1" t="str">
        <f t="shared" si="7"/>
        <v>-</v>
      </c>
      <c r="F19" s="8">
        <f t="shared" si="8"/>
        <v>6.5558168790679856</v>
      </c>
      <c r="G19" s="8">
        <f t="shared" si="9"/>
        <v>2.2507967039079895</v>
      </c>
      <c r="H19" s="8">
        <f t="shared" si="10"/>
        <v>3.8619105861538356</v>
      </c>
      <c r="I19" s="23"/>
      <c r="J19" s="1" t="str">
        <f t="shared" si="11"/>
        <v>-</v>
      </c>
      <c r="K19" s="8">
        <f t="shared" si="12"/>
        <v>6.5558168790679856</v>
      </c>
      <c r="L19" s="8">
        <f t="shared" si="13"/>
        <v>2.2507967039079895</v>
      </c>
      <c r="M19" s="8">
        <f t="shared" si="14"/>
        <v>3.8619105861538356</v>
      </c>
    </row>
    <row r="20" spans="1:13" x14ac:dyDescent="0.3">
      <c r="A20" s="2">
        <v>9</v>
      </c>
      <c r="B20" s="3">
        <f t="shared" si="4"/>
        <v>0.85783387393308941</v>
      </c>
      <c r="C20" s="3">
        <f t="shared" si="5"/>
        <v>2.1295755994227252</v>
      </c>
      <c r="D20" s="3">
        <f t="shared" si="6"/>
        <v>-0.90941942483678817</v>
      </c>
      <c r="E20" s="1" t="str">
        <f t="shared" si="7"/>
        <v>-</v>
      </c>
      <c r="F20" s="8">
        <f t="shared" si="8"/>
        <v>4.8309951580042467</v>
      </c>
      <c r="G20" s="8">
        <f t="shared" si="9"/>
        <v>1.773667013408442</v>
      </c>
      <c r="H20" s="8">
        <f t="shared" si="10"/>
        <v>2.9034455273557538</v>
      </c>
      <c r="I20" s="23"/>
      <c r="J20" s="1" t="str">
        <f t="shared" si="11"/>
        <v>-</v>
      </c>
      <c r="K20" s="8">
        <f t="shared" si="12"/>
        <v>4.8309951580042467</v>
      </c>
      <c r="L20" s="8">
        <f t="shared" si="13"/>
        <v>1.773667013408442</v>
      </c>
      <c r="M20" s="8">
        <f t="shared" si="14"/>
        <v>2.9034455273557538</v>
      </c>
    </row>
    <row r="21" spans="1:13" x14ac:dyDescent="0.3">
      <c r="A21" s="2">
        <v>10</v>
      </c>
      <c r="B21" s="3">
        <f t="shared" si="4"/>
        <v>0.88992191270703147</v>
      </c>
      <c r="C21" s="3">
        <f t="shared" si="5"/>
        <v>2.1003293312280906</v>
      </c>
      <c r="D21" s="3">
        <f t="shared" si="6"/>
        <v>-0.92986419382631347</v>
      </c>
      <c r="E21" s="1" t="str">
        <f t="shared" si="7"/>
        <v>-</v>
      </c>
      <c r="F21" s="8">
        <f t="shared" si="8"/>
        <v>3.6057139750985847</v>
      </c>
      <c r="G21" s="8">
        <f t="shared" si="9"/>
        <v>1.3924610659764449</v>
      </c>
      <c r="H21" s="8">
        <f t="shared" si="10"/>
        <v>2.198683326583077</v>
      </c>
      <c r="I21" s="23"/>
      <c r="J21" s="1" t="str">
        <f t="shared" si="11"/>
        <v>-</v>
      </c>
      <c r="K21" s="8">
        <f t="shared" si="12"/>
        <v>3.6057139750985847</v>
      </c>
      <c r="L21" s="8">
        <f t="shared" si="13"/>
        <v>1.3924610659764449</v>
      </c>
      <c r="M21" s="8">
        <f t="shared" si="14"/>
        <v>2.198683326583077</v>
      </c>
    </row>
    <row r="22" spans="1:13" x14ac:dyDescent="0.3">
      <c r="A22" s="2">
        <v>11</v>
      </c>
      <c r="B22" s="3">
        <f t="shared" si="4"/>
        <v>0.91476743129911142</v>
      </c>
      <c r="C22" s="3">
        <f t="shared" si="5"/>
        <v>2.0776841874372876</v>
      </c>
      <c r="D22" s="3">
        <f t="shared" si="6"/>
        <v>-0.94569441462060788</v>
      </c>
      <c r="E22" s="1" t="str">
        <f t="shared" si="7"/>
        <v>-</v>
      </c>
      <c r="F22" s="8">
        <f t="shared" si="8"/>
        <v>2.7160475703420559</v>
      </c>
      <c r="G22" s="8">
        <f t="shared" si="9"/>
        <v>1.0899223244671579</v>
      </c>
      <c r="H22" s="8">
        <f t="shared" si="10"/>
        <v>1.6739255883884179</v>
      </c>
      <c r="I22" s="23"/>
      <c r="J22" s="1" t="str">
        <f t="shared" si="11"/>
        <v>-</v>
      </c>
      <c r="K22" s="8">
        <f t="shared" si="12"/>
        <v>2.7160475703420559</v>
      </c>
      <c r="L22" s="8">
        <f t="shared" si="13"/>
        <v>1.0899223244671579</v>
      </c>
      <c r="M22" s="8">
        <f t="shared" si="14"/>
        <v>1.6739255883884179</v>
      </c>
    </row>
    <row r="23" spans="1:13" x14ac:dyDescent="0.3">
      <c r="A23" s="2">
        <v>12</v>
      </c>
      <c r="B23" s="3">
        <f t="shared" si="4"/>
        <v>0.93400511359166016</v>
      </c>
      <c r="C23" s="3">
        <f t="shared" si="5"/>
        <v>2.0601502358938659</v>
      </c>
      <c r="D23" s="3">
        <f t="shared" si="6"/>
        <v>-0.95795162589926486</v>
      </c>
      <c r="E23" s="1" t="str">
        <f t="shared" si="7"/>
        <v>-</v>
      </c>
      <c r="F23" s="8">
        <f t="shared" si="8"/>
        <v>2.0596977481816343</v>
      </c>
      <c r="G23" s="8">
        <f t="shared" si="9"/>
        <v>0.85110062547520648</v>
      </c>
      <c r="H23" s="8">
        <f t="shared" si="10"/>
        <v>1.2795229891854587</v>
      </c>
      <c r="I23" s="23"/>
      <c r="J23" s="1" t="str">
        <f t="shared" si="11"/>
        <v>-</v>
      </c>
      <c r="K23" s="8">
        <f t="shared" si="12"/>
        <v>2.0596977481816343</v>
      </c>
      <c r="L23" s="8">
        <f t="shared" si="13"/>
        <v>0.85110062547520648</v>
      </c>
      <c r="M23" s="8">
        <f t="shared" si="14"/>
        <v>1.2795229891854587</v>
      </c>
    </row>
    <row r="24" spans="1:13" x14ac:dyDescent="0.3">
      <c r="A24" s="2">
        <v>13</v>
      </c>
      <c r="B24" s="3">
        <f t="shared" si="4"/>
        <v>0.94890069500269947</v>
      </c>
      <c r="C24" s="3">
        <f t="shared" si="5"/>
        <v>2.0465738395490183</v>
      </c>
      <c r="D24" s="3">
        <f t="shared" si="6"/>
        <v>-0.96744228515122688</v>
      </c>
      <c r="E24" s="1" t="str">
        <f t="shared" si="7"/>
        <v>-</v>
      </c>
      <c r="F24" s="8">
        <f t="shared" si="8"/>
        <v>1.5697724208113191</v>
      </c>
      <c r="G24" s="8">
        <f t="shared" si="9"/>
        <v>0.66337192836586478</v>
      </c>
      <c r="H24" s="8">
        <f t="shared" si="10"/>
        <v>0.98100521319248268</v>
      </c>
      <c r="I24" s="23"/>
      <c r="J24" s="1" t="str">
        <f t="shared" si="11"/>
        <v>-</v>
      </c>
      <c r="K24" s="8">
        <f t="shared" si="12"/>
        <v>1.5697724208113191</v>
      </c>
      <c r="L24" s="8">
        <f t="shared" si="13"/>
        <v>0.66337192836586478</v>
      </c>
      <c r="M24" s="8">
        <f t="shared" si="14"/>
        <v>0.98100521319248268</v>
      </c>
    </row>
    <row r="25" spans="1:13" x14ac:dyDescent="0.3">
      <c r="A25" s="2">
        <v>14</v>
      </c>
      <c r="B25" s="3">
        <f t="shared" si="4"/>
        <v>0.96043422280110424</v>
      </c>
      <c r="C25" s="3">
        <f t="shared" si="5"/>
        <v>2.0360617460238344</v>
      </c>
      <c r="D25" s="3">
        <f t="shared" si="6"/>
        <v>-0.97479082559242314</v>
      </c>
      <c r="E25" s="1" t="str">
        <f t="shared" si="7"/>
        <v>-</v>
      </c>
      <c r="F25" s="8">
        <f t="shared" si="8"/>
        <v>1.2008659754717264</v>
      </c>
      <c r="G25" s="8">
        <f t="shared" si="9"/>
        <v>0.51629541912040033</v>
      </c>
      <c r="H25" s="8">
        <f t="shared" si="10"/>
        <v>0.75385818662483106</v>
      </c>
      <c r="I25" s="23"/>
      <c r="J25" s="1" t="str">
        <f t="shared" si="11"/>
        <v>-</v>
      </c>
      <c r="K25" s="8">
        <f t="shared" si="12"/>
        <v>1.2008659754717264</v>
      </c>
      <c r="L25" s="8">
        <f t="shared" si="13"/>
        <v>0.51629541912040033</v>
      </c>
      <c r="M25" s="8">
        <f t="shared" si="14"/>
        <v>0.75385818662483106</v>
      </c>
    </row>
    <row r="26" spans="1:13" x14ac:dyDescent="0.3">
      <c r="A26" s="2">
        <v>15</v>
      </c>
      <c r="B26" s="3">
        <f t="shared" si="4"/>
        <v>0.96936453978429438</v>
      </c>
      <c r="C26" s="3">
        <f t="shared" si="5"/>
        <v>2.0279223173116412</v>
      </c>
      <c r="D26" s="3">
        <f t="shared" si="6"/>
        <v>-0.98048074082421766</v>
      </c>
      <c r="E26" s="1" t="str">
        <f t="shared" si="7"/>
        <v>-</v>
      </c>
      <c r="F26" s="8">
        <f t="shared" si="8"/>
        <v>0.92125476192654343</v>
      </c>
      <c r="G26" s="8">
        <f t="shared" si="9"/>
        <v>0.40136787502705756</v>
      </c>
      <c r="H26" s="8">
        <f t="shared" si="10"/>
        <v>0.58031891855534323</v>
      </c>
      <c r="I26" s="23"/>
      <c r="J26" s="1" t="str">
        <f t="shared" si="11"/>
        <v>-</v>
      </c>
      <c r="K26" s="8">
        <f t="shared" si="12"/>
        <v>0.92125476192654343</v>
      </c>
      <c r="L26" s="8">
        <f t="shared" si="13"/>
        <v>0.40136787502705756</v>
      </c>
      <c r="M26" s="8">
        <f t="shared" si="14"/>
        <v>0.58031891855534323</v>
      </c>
    </row>
    <row r="27" spans="1:13" x14ac:dyDescent="0.3">
      <c r="A27" s="2">
        <v>16</v>
      </c>
      <c r="B27" s="3">
        <f t="shared" si="4"/>
        <v>0.97627921175628818</v>
      </c>
      <c r="C27" s="3">
        <f t="shared" si="5"/>
        <v>2.021620023709747</v>
      </c>
      <c r="D27" s="3">
        <f t="shared" si="6"/>
        <v>-0.98488639601551364</v>
      </c>
      <c r="E27" s="1" t="str">
        <f t="shared" si="7"/>
        <v>-</v>
      </c>
      <c r="F27" s="8">
        <f t="shared" si="8"/>
        <v>0.70826786934800934</v>
      </c>
      <c r="G27" s="8">
        <f t="shared" si="9"/>
        <v>0.31174471601885007</v>
      </c>
      <c r="H27" s="8">
        <f t="shared" si="10"/>
        <v>0.44732623063123222</v>
      </c>
      <c r="I27" s="23"/>
      <c r="J27" s="1" t="str">
        <f t="shared" si="11"/>
        <v>-</v>
      </c>
      <c r="K27" s="8">
        <f t="shared" si="12"/>
        <v>0.70826786934800934</v>
      </c>
      <c r="L27" s="8">
        <f t="shared" si="13"/>
        <v>0.31174471601885007</v>
      </c>
      <c r="M27" s="8">
        <f t="shared" si="14"/>
        <v>0.44732623063123222</v>
      </c>
    </row>
    <row r="28" spans="1:13" x14ac:dyDescent="0.3">
      <c r="A28" s="2">
        <v>17</v>
      </c>
      <c r="B28" s="3">
        <f t="shared" si="4"/>
        <v>0.98163318615288331</v>
      </c>
      <c r="C28" s="3">
        <f t="shared" si="5"/>
        <v>2.0167402089158015</v>
      </c>
      <c r="D28" s="3">
        <f t="shared" si="6"/>
        <v>-0.98829765907902734</v>
      </c>
      <c r="E28" s="1" t="str">
        <f t="shared" si="7"/>
        <v>-</v>
      </c>
      <c r="F28" s="8">
        <f t="shared" si="8"/>
        <v>0.54541497497429559</v>
      </c>
      <c r="G28" s="8">
        <f t="shared" si="9"/>
        <v>0.24196546349263739</v>
      </c>
      <c r="H28" s="8">
        <f t="shared" si="10"/>
        <v>0.34516555130693849</v>
      </c>
      <c r="I28" s="23"/>
      <c r="J28" s="1" t="str">
        <f t="shared" si="11"/>
        <v>-</v>
      </c>
      <c r="K28" s="8">
        <f t="shared" si="12"/>
        <v>0.54541497497429559</v>
      </c>
      <c r="L28" s="8">
        <f t="shared" si="13"/>
        <v>0.24196546349263739</v>
      </c>
      <c r="M28" s="8">
        <f t="shared" si="14"/>
        <v>0.34516555130693849</v>
      </c>
    </row>
    <row r="29" spans="1:13" x14ac:dyDescent="0.3">
      <c r="A29" s="2">
        <v>18</v>
      </c>
      <c r="B29" s="3">
        <f t="shared" si="4"/>
        <v>0.98577872508161291</v>
      </c>
      <c r="C29" s="3">
        <f t="shared" si="5"/>
        <v>2.0129618079196798</v>
      </c>
      <c r="D29" s="3">
        <f t="shared" si="6"/>
        <v>-0.9909389723873111</v>
      </c>
      <c r="E29" s="1" t="str">
        <f t="shared" si="7"/>
        <v>-</v>
      </c>
      <c r="F29" s="8">
        <f t="shared" si="8"/>
        <v>0.42053442859465112</v>
      </c>
      <c r="G29" s="8">
        <f t="shared" si="9"/>
        <v>0.18770356105397426</v>
      </c>
      <c r="H29" s="8">
        <f t="shared" si="10"/>
        <v>0.26654651617147235</v>
      </c>
      <c r="I29" s="23"/>
      <c r="J29" s="1" t="str">
        <f t="shared" si="11"/>
        <v>-</v>
      </c>
      <c r="K29" s="8">
        <f t="shared" si="12"/>
        <v>0.42053442859465112</v>
      </c>
      <c r="L29" s="8">
        <f t="shared" si="13"/>
        <v>0.18770356105397426</v>
      </c>
      <c r="M29" s="8">
        <f t="shared" si="14"/>
        <v>0.26654651617147235</v>
      </c>
    </row>
    <row r="30" spans="1:13" x14ac:dyDescent="0.3">
      <c r="A30" s="2">
        <v>19</v>
      </c>
      <c r="B30" s="3">
        <f t="shared" si="4"/>
        <v>0.98898858223381558</v>
      </c>
      <c r="C30" s="3">
        <f t="shared" si="5"/>
        <v>2.0100362226894366</v>
      </c>
      <c r="D30" s="3">
        <f t="shared" si="6"/>
        <v>-0.9929841198481264</v>
      </c>
      <c r="E30" s="1" t="str">
        <f t="shared" si="7"/>
        <v>-</v>
      </c>
      <c r="F30" s="8">
        <f t="shared" si="8"/>
        <v>0.32455957630497767</v>
      </c>
      <c r="G30" s="8">
        <f t="shared" si="9"/>
        <v>0.14554888102109806</v>
      </c>
      <c r="H30" s="8">
        <f t="shared" si="10"/>
        <v>0.20595973489768377</v>
      </c>
      <c r="I30" s="23"/>
      <c r="J30" s="1" t="str">
        <f t="shared" si="11"/>
        <v>-</v>
      </c>
      <c r="K30" s="8">
        <f t="shared" si="12"/>
        <v>0.32455957630497767</v>
      </c>
      <c r="L30" s="8">
        <f t="shared" si="13"/>
        <v>0.14554888102109806</v>
      </c>
      <c r="M30" s="8">
        <f t="shared" si="14"/>
        <v>0.20595973489768377</v>
      </c>
    </row>
    <row r="31" spans="1:13" x14ac:dyDescent="0.3">
      <c r="A31" s="2">
        <v>20</v>
      </c>
      <c r="B31" s="3">
        <f t="shared" si="4"/>
        <v>0.9914739485793449</v>
      </c>
      <c r="C31" s="3">
        <f t="shared" si="5"/>
        <v>2.0077709657862641</v>
      </c>
      <c r="D31" s="3">
        <f t="shared" si="6"/>
        <v>-0.99456766093102689</v>
      </c>
      <c r="E31" s="1" t="str">
        <f t="shared" si="7"/>
        <v>-</v>
      </c>
      <c r="F31" s="8">
        <f t="shared" si="8"/>
        <v>0.25067389305493376</v>
      </c>
      <c r="G31" s="8">
        <f t="shared" si="9"/>
        <v>0.11282446761976042</v>
      </c>
      <c r="H31" s="8">
        <f t="shared" si="10"/>
        <v>0.15921904010211974</v>
      </c>
      <c r="I31" s="23"/>
      <c r="J31" s="1" t="str">
        <f t="shared" si="11"/>
        <v>-</v>
      </c>
      <c r="K31" s="8">
        <f t="shared" si="12"/>
        <v>0.25067389305493376</v>
      </c>
      <c r="L31" s="8">
        <f t="shared" si="13"/>
        <v>0.11282446761976042</v>
      </c>
      <c r="M31" s="8">
        <f t="shared" si="14"/>
        <v>0.15921904010211974</v>
      </c>
    </row>
    <row r="32" spans="1:13" x14ac:dyDescent="0.3">
      <c r="A32" s="2">
        <v>21</v>
      </c>
      <c r="B32" s="3">
        <f t="shared" si="4"/>
        <v>0.99339834757238132</v>
      </c>
      <c r="C32" s="3">
        <f t="shared" si="5"/>
        <v>2.0060169957482956</v>
      </c>
      <c r="D32" s="3">
        <f t="shared" si="6"/>
        <v>-0.99579378394136198</v>
      </c>
      <c r="E32" s="1" t="str">
        <f t="shared" si="7"/>
        <v>-</v>
      </c>
      <c r="F32" s="8">
        <f t="shared" si="8"/>
        <v>0.19371876324730936</v>
      </c>
      <c r="G32" s="8">
        <f t="shared" si="9"/>
        <v>8.7435452525377794E-2</v>
      </c>
      <c r="H32" s="8">
        <f t="shared" si="10"/>
        <v>0.12313021331405406</v>
      </c>
      <c r="I32" s="23"/>
      <c r="J32" s="1" t="str">
        <f t="shared" si="11"/>
        <v>-</v>
      </c>
      <c r="K32" s="8">
        <f t="shared" si="12"/>
        <v>0.19371876324730936</v>
      </c>
      <c r="L32" s="8">
        <f t="shared" si="13"/>
        <v>8.7435452525377794E-2</v>
      </c>
      <c r="M32" s="8">
        <f t="shared" si="14"/>
        <v>0.12313021331405406</v>
      </c>
    </row>
    <row r="33" spans="1:13" x14ac:dyDescent="0.3">
      <c r="A33" s="2">
        <v>22</v>
      </c>
      <c r="B33" s="3">
        <f t="shared" si="4"/>
        <v>0.99488839409653318</v>
      </c>
      <c r="C33" s="3">
        <f t="shared" si="5"/>
        <v>2.0046589109810524</v>
      </c>
      <c r="D33" s="3">
        <f t="shared" si="6"/>
        <v>-0.99674316103849336</v>
      </c>
      <c r="E33" s="1" t="str">
        <f t="shared" si="7"/>
        <v>-</v>
      </c>
      <c r="F33" s="8">
        <f t="shared" si="8"/>
        <v>0.14977021874950908</v>
      </c>
      <c r="G33" s="8">
        <f t="shared" si="9"/>
        <v>6.7746426077968894E-2</v>
      </c>
      <c r="H33" s="8">
        <f t="shared" si="10"/>
        <v>9.5247916839704641E-2</v>
      </c>
      <c r="I33" s="23"/>
      <c r="J33" s="1" t="str">
        <f t="shared" si="11"/>
        <v>-</v>
      </c>
      <c r="K33" s="8">
        <f t="shared" si="12"/>
        <v>0.14977021874950908</v>
      </c>
      <c r="L33" s="8">
        <f t="shared" si="13"/>
        <v>6.7746426077968894E-2</v>
      </c>
      <c r="M33" s="8">
        <f t="shared" si="14"/>
        <v>9.5247916839704641E-2</v>
      </c>
    </row>
    <row r="34" spans="1:13" x14ac:dyDescent="0.3">
      <c r="A34" s="2">
        <v>23</v>
      </c>
      <c r="B34" s="3">
        <f t="shared" si="4"/>
        <v>0.99604212502872047</v>
      </c>
      <c r="C34" s="3">
        <f t="shared" si="5"/>
        <v>2.003607356966393</v>
      </c>
      <c r="D34" s="3">
        <f t="shared" si="6"/>
        <v>-0.99747825602077589</v>
      </c>
      <c r="E34" s="1" t="str">
        <f t="shared" si="7"/>
        <v>-</v>
      </c>
      <c r="F34" s="8">
        <f t="shared" si="8"/>
        <v>0.11583153997166776</v>
      </c>
      <c r="G34" s="8">
        <f t="shared" si="9"/>
        <v>5.2483038206224394E-2</v>
      </c>
      <c r="H34" s="8">
        <f t="shared" si="10"/>
        <v>7.369533900568695E-2</v>
      </c>
      <c r="I34" s="23"/>
      <c r="J34" s="1" t="str">
        <f t="shared" si="11"/>
        <v>-</v>
      </c>
      <c r="K34" s="8">
        <f t="shared" si="12"/>
        <v>0.11583153997166776</v>
      </c>
      <c r="L34" s="8">
        <f t="shared" si="13"/>
        <v>5.2483038206224394E-2</v>
      </c>
      <c r="M34" s="8">
        <f t="shared" si="14"/>
        <v>7.369533900568695E-2</v>
      </c>
    </row>
    <row r="35" spans="1:13" x14ac:dyDescent="0.3">
      <c r="A35" s="2">
        <v>24</v>
      </c>
      <c r="B35" s="3">
        <f t="shared" si="4"/>
        <v>0.99693544952719138</v>
      </c>
      <c r="C35" s="3">
        <f t="shared" si="5"/>
        <v>2.0027931472260163</v>
      </c>
      <c r="D35" s="3">
        <f t="shared" si="6"/>
        <v>-0.99804743410039154</v>
      </c>
      <c r="E35" s="1" t="str">
        <f t="shared" si="7"/>
        <v>-</v>
      </c>
      <c r="F35" s="8">
        <f t="shared" si="8"/>
        <v>8.9607055190441293E-2</v>
      </c>
      <c r="G35" s="8">
        <f t="shared" si="9"/>
        <v>4.0653711118616612E-2</v>
      </c>
      <c r="H35" s="8">
        <f t="shared" si="10"/>
        <v>5.7029161156923372E-2</v>
      </c>
      <c r="I35" s="23"/>
      <c r="J35" s="1" t="str">
        <f t="shared" si="11"/>
        <v>-</v>
      </c>
      <c r="K35" s="8">
        <f t="shared" si="12"/>
        <v>8.9607055190441293E-2</v>
      </c>
      <c r="L35" s="8">
        <f t="shared" si="13"/>
        <v>4.0653711118616612E-2</v>
      </c>
      <c r="M35" s="8">
        <f t="shared" si="14"/>
        <v>5.7029161156923372E-2</v>
      </c>
    </row>
    <row r="36" spans="1:13" x14ac:dyDescent="0.3">
      <c r="A36" s="2">
        <v>25</v>
      </c>
      <c r="B36" s="3">
        <f t="shared" si="4"/>
        <v>0.99762714343718761</v>
      </c>
      <c r="C36" s="3">
        <f t="shared" si="5"/>
        <v>2.0021627112312101</v>
      </c>
      <c r="D36" s="3">
        <f t="shared" si="6"/>
        <v>-0.99848814406865927</v>
      </c>
      <c r="E36" s="1" t="str">
        <f t="shared" si="7"/>
        <v>-</v>
      </c>
      <c r="F36" s="8">
        <f t="shared" si="8"/>
        <v>6.9333910423998862E-2</v>
      </c>
      <c r="G36" s="8">
        <f t="shared" si="9"/>
        <v>3.1487750284715184E-2</v>
      </c>
      <c r="H36" s="8">
        <f t="shared" si="10"/>
        <v>4.4137726710696198E-2</v>
      </c>
      <c r="I36" s="23"/>
      <c r="J36" s="1" t="str">
        <f t="shared" si="11"/>
        <v>-</v>
      </c>
      <c r="K36" s="8">
        <f t="shared" si="12"/>
        <v>6.9333910423998862E-2</v>
      </c>
      <c r="L36" s="8">
        <f t="shared" si="13"/>
        <v>3.1487750284715184E-2</v>
      </c>
      <c r="M36" s="8">
        <f t="shared" si="14"/>
        <v>4.4137726710696198E-2</v>
      </c>
    </row>
    <row r="37" spans="1:13" x14ac:dyDescent="0.3">
      <c r="A37" s="2">
        <v>26</v>
      </c>
      <c r="B37" s="3">
        <f t="shared" si="4"/>
        <v>0.99816271641872456</v>
      </c>
      <c r="C37" s="3">
        <f t="shared" si="5"/>
        <v>2.0016745697563083</v>
      </c>
      <c r="D37" s="3">
        <f t="shared" si="6"/>
        <v>-0.9988293822208052</v>
      </c>
      <c r="E37" s="1" t="str">
        <f t="shared" si="7"/>
        <v>-</v>
      </c>
      <c r="F37" s="8">
        <f t="shared" si="8"/>
        <v>5.3655879219623809E-2</v>
      </c>
      <c r="G37" s="8">
        <f t="shared" si="9"/>
        <v>2.4386655167491379E-2</v>
      </c>
      <c r="H37" s="8">
        <f t="shared" si="10"/>
        <v>3.4163807975614094E-2</v>
      </c>
      <c r="I37" s="23"/>
      <c r="J37" s="1" t="str">
        <f t="shared" si="11"/>
        <v>-</v>
      </c>
      <c r="K37" s="8">
        <f t="shared" si="12"/>
        <v>5.3655879219623809E-2</v>
      </c>
      <c r="L37" s="8">
        <f t="shared" si="13"/>
        <v>2.4386655167491379E-2</v>
      </c>
      <c r="M37" s="8">
        <f t="shared" si="14"/>
        <v>3.4163807975614094E-2</v>
      </c>
    </row>
    <row r="38" spans="1:13" x14ac:dyDescent="0.3">
      <c r="A38" s="2">
        <v>27</v>
      </c>
      <c r="B38" s="3">
        <f t="shared" si="4"/>
        <v>0.99857740623224844</v>
      </c>
      <c r="C38" s="3">
        <f t="shared" si="5"/>
        <v>2.0012966057734731</v>
      </c>
      <c r="D38" s="3">
        <f t="shared" si="6"/>
        <v>-0.99909360015292514</v>
      </c>
      <c r="E38" s="1" t="str">
        <f t="shared" si="7"/>
        <v>-</v>
      </c>
      <c r="F38" s="8">
        <f t="shared" si="8"/>
        <v>4.1528058910180743E-2</v>
      </c>
      <c r="G38" s="8">
        <f t="shared" si="9"/>
        <v>1.8885955322404873E-2</v>
      </c>
      <c r="H38" s="8">
        <f t="shared" si="10"/>
        <v>2.6445763648121214E-2</v>
      </c>
      <c r="I38" s="23"/>
      <c r="J38" s="1" t="str">
        <f t="shared" si="11"/>
        <v>-</v>
      </c>
      <c r="K38" s="8">
        <f t="shared" si="12"/>
        <v>4.1528058910180743E-2</v>
      </c>
      <c r="L38" s="8">
        <f t="shared" si="13"/>
        <v>1.8885955322404873E-2</v>
      </c>
      <c r="M38" s="8">
        <f t="shared" si="14"/>
        <v>2.6445763648121214E-2</v>
      </c>
    </row>
    <row r="39" spans="1:13" x14ac:dyDescent="0.3">
      <c r="A39" s="2">
        <v>28</v>
      </c>
      <c r="B39" s="3">
        <f t="shared" si="4"/>
        <v>0.99889849718972601</v>
      </c>
      <c r="C39" s="3">
        <f t="shared" si="5"/>
        <v>2.0010039513286744</v>
      </c>
      <c r="D39" s="3">
        <f t="shared" si="6"/>
        <v>-0.99929818195368392</v>
      </c>
      <c r="E39" s="1" t="str">
        <f t="shared" si="7"/>
        <v>-</v>
      </c>
      <c r="F39" s="8">
        <f t="shared" si="8"/>
        <v>3.2144503008154898E-2</v>
      </c>
      <c r="G39" s="8">
        <f t="shared" si="9"/>
        <v>1.4625380654767473E-2</v>
      </c>
      <c r="H39" s="8">
        <f t="shared" si="10"/>
        <v>2.0472548079573726E-2</v>
      </c>
      <c r="I39" s="23"/>
      <c r="J39" s="1" t="str">
        <f t="shared" si="11"/>
        <v>-</v>
      </c>
      <c r="K39" s="8">
        <f t="shared" si="12"/>
        <v>3.2144503008154898E-2</v>
      </c>
      <c r="L39" s="8">
        <f t="shared" si="13"/>
        <v>1.4625380654767473E-2</v>
      </c>
      <c r="M39" s="8">
        <f t="shared" si="14"/>
        <v>2.0472548079573726E-2</v>
      </c>
    </row>
    <row r="40" spans="1:13" x14ac:dyDescent="0.3">
      <c r="A40" s="2">
        <v>29</v>
      </c>
      <c r="B40" s="3">
        <f t="shared" si="4"/>
        <v>0.99914711531250477</v>
      </c>
      <c r="C40" s="3">
        <f t="shared" si="5"/>
        <v>2.0007773513669056</v>
      </c>
      <c r="D40" s="3">
        <f t="shared" si="6"/>
        <v>-0.99945658798186643</v>
      </c>
      <c r="E40" s="1" t="str">
        <f t="shared" si="7"/>
        <v>-</v>
      </c>
      <c r="F40" s="8">
        <f t="shared" si="8"/>
        <v>2.4883034637096929E-2</v>
      </c>
      <c r="G40" s="8">
        <f t="shared" si="9"/>
        <v>1.1325596104632008E-2</v>
      </c>
      <c r="H40" s="8">
        <f t="shared" si="10"/>
        <v>1.5849215472416873E-2</v>
      </c>
      <c r="I40" s="23"/>
      <c r="J40" s="1" t="str">
        <f t="shared" si="11"/>
        <v>-</v>
      </c>
      <c r="K40" s="8">
        <f t="shared" si="12"/>
        <v>2.4883034637096929E-2</v>
      </c>
      <c r="L40" s="8">
        <f t="shared" si="13"/>
        <v>1.1325596104632008E-2</v>
      </c>
      <c r="M40" s="8">
        <f t="shared" si="14"/>
        <v>1.5849215472416873E-2</v>
      </c>
    </row>
    <row r="41" spans="1:13" x14ac:dyDescent="0.3">
      <c r="A41" s="2">
        <v>30</v>
      </c>
      <c r="B41" s="3">
        <f t="shared" si="4"/>
        <v>0.99933961830748042</v>
      </c>
      <c r="C41" s="3">
        <f t="shared" si="5"/>
        <v>2.0006018968553265</v>
      </c>
      <c r="D41" s="3">
        <f t="shared" si="6"/>
        <v>-0.99957924048405133</v>
      </c>
      <c r="E41" s="1" t="str">
        <f t="shared" si="7"/>
        <v>-</v>
      </c>
      <c r="F41" s="8">
        <f t="shared" si="8"/>
        <v>1.926302044360766E-2</v>
      </c>
      <c r="G41" s="8">
        <f t="shared" si="9"/>
        <v>8.7700862352908283E-3</v>
      </c>
      <c r="H41" s="8">
        <f t="shared" si="10"/>
        <v>1.2270413111571879E-2</v>
      </c>
      <c r="I41" s="23"/>
      <c r="J41" s="1" t="str">
        <f t="shared" si="11"/>
        <v>-</v>
      </c>
      <c r="K41" s="8">
        <f t="shared" si="12"/>
        <v>1.926302044360766E-2</v>
      </c>
      <c r="L41" s="8">
        <f t="shared" si="13"/>
        <v>8.7700862352908283E-3</v>
      </c>
      <c r="M41" s="8">
        <f t="shared" si="14"/>
        <v>1.2270413111571879E-2</v>
      </c>
    </row>
    <row r="42" spans="1:13" x14ac:dyDescent="0.3">
      <c r="A42" s="2">
        <v>31</v>
      </c>
      <c r="B42" s="3">
        <f t="shared" si="4"/>
        <v>0.99948867181436241</v>
      </c>
      <c r="C42" s="3">
        <f t="shared" si="5"/>
        <v>2.0004660438507931</v>
      </c>
      <c r="D42" s="3">
        <f t="shared" si="6"/>
        <v>-0.99967420932118989</v>
      </c>
      <c r="E42" s="1" t="str">
        <f t="shared" si="7"/>
        <v>-</v>
      </c>
      <c r="F42" s="8">
        <f t="shared" si="8"/>
        <v>1.491297611321752E-2</v>
      </c>
      <c r="G42" s="8">
        <f t="shared" si="9"/>
        <v>6.7910677589877169E-3</v>
      </c>
      <c r="H42" s="8">
        <f t="shared" si="10"/>
        <v>9.4999787183707145E-3</v>
      </c>
      <c r="I42" s="23"/>
      <c r="J42" s="1" t="str">
        <f t="shared" si="11"/>
        <v>-</v>
      </c>
      <c r="K42" s="8">
        <f t="shared" si="12"/>
        <v>1.491297611321752E-2</v>
      </c>
      <c r="L42" s="8">
        <f t="shared" si="13"/>
        <v>6.7910677589877169E-3</v>
      </c>
      <c r="M42" s="8">
        <f t="shared" si="14"/>
        <v>9.4999787183707145E-3</v>
      </c>
    </row>
    <row r="43" spans="1:13" x14ac:dyDescent="0.3">
      <c r="A43" s="2">
        <v>32</v>
      </c>
      <c r="B43" s="3">
        <f t="shared" si="4"/>
        <v>0.99960408273519841</v>
      </c>
      <c r="C43" s="3">
        <f t="shared" si="5"/>
        <v>2.0003608539718059</v>
      </c>
      <c r="D43" s="3">
        <f t="shared" si="6"/>
        <v>-0.99974774292113067</v>
      </c>
      <c r="E43" s="1" t="str">
        <f t="shared" si="7"/>
        <v>-</v>
      </c>
      <c r="F43" s="8">
        <f t="shared" si="8"/>
        <v>1.1545663210998921E-2</v>
      </c>
      <c r="G43" s="8">
        <f t="shared" si="9"/>
        <v>5.2585451659065748E-3</v>
      </c>
      <c r="H43" s="8">
        <f t="shared" si="10"/>
        <v>7.3552153992288878E-3</v>
      </c>
      <c r="I43" s="23"/>
      <c r="J43" s="1" t="str">
        <f t="shared" si="11"/>
        <v>-</v>
      </c>
      <c r="K43" s="8">
        <f t="shared" si="12"/>
        <v>1.1545663210998921E-2</v>
      </c>
      <c r="L43" s="8">
        <f t="shared" si="13"/>
        <v>5.2585451659065748E-3</v>
      </c>
      <c r="M43" s="8">
        <f t="shared" si="14"/>
        <v>7.3552153992288878E-3</v>
      </c>
    </row>
    <row r="44" spans="1:13" x14ac:dyDescent="0.3">
      <c r="A44" s="2">
        <v>33</v>
      </c>
      <c r="B44" s="3">
        <f t="shared" si="4"/>
        <v>0.99969344447466235</v>
      </c>
      <c r="C44" s="3">
        <f t="shared" si="5"/>
        <v>2.0002794063021034</v>
      </c>
      <c r="D44" s="3">
        <f t="shared" si="6"/>
        <v>-0.99980467939085282</v>
      </c>
      <c r="E44" s="1" t="str">
        <f t="shared" si="7"/>
        <v>-</v>
      </c>
      <c r="F44" s="8">
        <f t="shared" si="8"/>
        <v>8.9389142199390956E-3</v>
      </c>
      <c r="G44" s="8">
        <f t="shared" si="9"/>
        <v>4.0718146397851684E-3</v>
      </c>
      <c r="H44" s="8">
        <f t="shared" si="10"/>
        <v>5.6947592760664967E-3</v>
      </c>
      <c r="I44" s="23"/>
      <c r="J44" s="1" t="str">
        <f t="shared" si="11"/>
        <v>-</v>
      </c>
      <c r="K44" s="8">
        <f t="shared" si="12"/>
        <v>8.9389142199390956E-3</v>
      </c>
      <c r="L44" s="8">
        <f t="shared" si="13"/>
        <v>4.0718146397851684E-3</v>
      </c>
      <c r="M44" s="8">
        <f t="shared" si="14"/>
        <v>5.6947592760664967E-3</v>
      </c>
    </row>
    <row r="45" spans="1:13" x14ac:dyDescent="0.3">
      <c r="A45" s="2">
        <v>34</v>
      </c>
      <c r="B45" s="3">
        <f t="shared" si="4"/>
        <v>0.99976263654437469</v>
      </c>
      <c r="C45" s="3">
        <f t="shared" si="5"/>
        <v>2.000216342032386</v>
      </c>
      <c r="D45" s="3">
        <f t="shared" si="6"/>
        <v>-0.99984876483732965</v>
      </c>
      <c r="E45" s="1" t="str">
        <f t="shared" si="7"/>
        <v>-</v>
      </c>
      <c r="F45" s="8">
        <f t="shared" si="8"/>
        <v>6.9208497280415825E-3</v>
      </c>
      <c r="G45" s="8">
        <f t="shared" si="9"/>
        <v>3.1528724364582286E-3</v>
      </c>
      <c r="H45" s="8">
        <f t="shared" si="10"/>
        <v>4.4092114754974441E-3</v>
      </c>
      <c r="I45" s="23"/>
      <c r="J45" s="1" t="str">
        <f t="shared" si="11"/>
        <v>-</v>
      </c>
      <c r="K45" s="8">
        <f t="shared" si="12"/>
        <v>6.9208497280415825E-3</v>
      </c>
      <c r="L45" s="8">
        <f t="shared" si="13"/>
        <v>3.1528724364582286E-3</v>
      </c>
      <c r="M45" s="8">
        <f t="shared" si="14"/>
        <v>4.4092114754974441E-3</v>
      </c>
    </row>
    <row r="46" spans="1:13" x14ac:dyDescent="0.3">
      <c r="A46" s="2">
        <v>35</v>
      </c>
      <c r="B46" s="3">
        <f t="shared" si="4"/>
        <v>0.99981621140247179</v>
      </c>
      <c r="C46" s="3">
        <f t="shared" si="5"/>
        <v>2.0001675118800994</v>
      </c>
      <c r="D46" s="3">
        <f t="shared" si="6"/>
        <v>-0.99988289984079071</v>
      </c>
      <c r="E46" s="1" t="str">
        <f t="shared" si="7"/>
        <v>-</v>
      </c>
      <c r="F46" s="8">
        <f t="shared" si="8"/>
        <v>5.3584706355124028E-3</v>
      </c>
      <c r="G46" s="8">
        <f t="shared" si="9"/>
        <v>2.4413031406863273E-3</v>
      </c>
      <c r="H46" s="8">
        <f t="shared" si="10"/>
        <v>3.4139001143524621E-3</v>
      </c>
      <c r="I46" s="23"/>
      <c r="J46" s="1" t="str">
        <f t="shared" si="11"/>
        <v>-</v>
      </c>
      <c r="K46" s="8">
        <f t="shared" si="12"/>
        <v>5.3584706355124028E-3</v>
      </c>
      <c r="L46" s="8">
        <f t="shared" si="13"/>
        <v>2.4413031406863273E-3</v>
      </c>
      <c r="M46" s="8">
        <f t="shared" si="14"/>
        <v>3.4139001143524621E-3</v>
      </c>
    </row>
    <row r="47" spans="1:13" x14ac:dyDescent="0.3">
      <c r="A47" s="2">
        <v>36</v>
      </c>
      <c r="B47" s="3">
        <f t="shared" si="4"/>
        <v>0.99985769398034563</v>
      </c>
      <c r="C47" s="3">
        <f t="shared" si="5"/>
        <v>2.0001297030894318</v>
      </c>
      <c r="D47" s="3">
        <f t="shared" si="6"/>
        <v>-0.99990933029697127</v>
      </c>
      <c r="E47" s="1" t="str">
        <f t="shared" si="7"/>
        <v>-</v>
      </c>
      <c r="F47" s="8">
        <f t="shared" si="8"/>
        <v>4.1488481934567074E-3</v>
      </c>
      <c r="G47" s="8">
        <f t="shared" si="9"/>
        <v>1.8903169434069675E-3</v>
      </c>
      <c r="H47" s="8">
        <f t="shared" si="10"/>
        <v>2.6432852839476657E-3</v>
      </c>
      <c r="I47" s="23"/>
      <c r="J47" s="1" t="str">
        <f t="shared" si="11"/>
        <v>-</v>
      </c>
      <c r="K47" s="8">
        <f t="shared" si="12"/>
        <v>4.1488481934567074E-3</v>
      </c>
      <c r="L47" s="8">
        <f t="shared" si="13"/>
        <v>1.8903169434069675E-3</v>
      </c>
      <c r="M47" s="8">
        <f t="shared" si="14"/>
        <v>2.6432852839476657E-3</v>
      </c>
    </row>
    <row r="48" spans="1:13" x14ac:dyDescent="0.3">
      <c r="A48" s="2">
        <v>37</v>
      </c>
      <c r="B48" s="3">
        <f t="shared" si="4"/>
        <v>0.99988981360376972</v>
      </c>
      <c r="C48" s="3">
        <f t="shared" si="5"/>
        <v>2.0001004280496293</v>
      </c>
      <c r="D48" s="3">
        <f t="shared" si="6"/>
        <v>-0.99992979518471348</v>
      </c>
      <c r="E48" s="1" t="str">
        <f t="shared" si="7"/>
        <v>-</v>
      </c>
      <c r="F48" s="8">
        <f t="shared" si="8"/>
        <v>3.212316295964929E-3</v>
      </c>
      <c r="G48" s="8">
        <f t="shared" si="9"/>
        <v>1.4636784929391059E-3</v>
      </c>
      <c r="H48" s="8">
        <f t="shared" si="10"/>
        <v>2.0466324576747397E-3</v>
      </c>
      <c r="I48" s="23"/>
      <c r="J48" s="1" t="str">
        <f t="shared" si="11"/>
        <v>-</v>
      </c>
      <c r="K48" s="8">
        <f t="shared" si="12"/>
        <v>3.212316295964929E-3</v>
      </c>
      <c r="L48" s="8">
        <f t="shared" si="13"/>
        <v>1.4636784929391059E-3</v>
      </c>
      <c r="M48" s="8">
        <f t="shared" si="14"/>
        <v>2.0466324576747397E-3</v>
      </c>
    </row>
    <row r="49" spans="1:13" x14ac:dyDescent="0.3">
      <c r="A49" s="2">
        <v>38</v>
      </c>
      <c r="B49" s="3">
        <f t="shared" si="4"/>
        <v>0.9999146835675421</v>
      </c>
      <c r="C49" s="3">
        <f t="shared" si="5"/>
        <v>2.000077760623872</v>
      </c>
      <c r="D49" s="3">
        <f t="shared" si="6"/>
        <v>-0.99994564098122352</v>
      </c>
      <c r="E49" s="1" t="str">
        <f t="shared" si="7"/>
        <v>-</v>
      </c>
      <c r="F49" s="8">
        <f t="shared" si="8"/>
        <v>2.487208577000384E-3</v>
      </c>
      <c r="G49" s="8">
        <f t="shared" si="9"/>
        <v>1.1333272237487413E-3</v>
      </c>
      <c r="H49" s="8">
        <f t="shared" si="10"/>
        <v>1.5846657918814277E-3</v>
      </c>
      <c r="I49" s="23"/>
      <c r="J49" s="1" t="str">
        <f t="shared" si="11"/>
        <v>-</v>
      </c>
      <c r="K49" s="8">
        <f t="shared" si="12"/>
        <v>2.487208577000384E-3</v>
      </c>
      <c r="L49" s="8">
        <f t="shared" si="13"/>
        <v>1.1333272237487413E-3</v>
      </c>
      <c r="M49" s="8">
        <f t="shared" si="14"/>
        <v>1.5846657918814277E-3</v>
      </c>
    </row>
    <row r="50" spans="1:13" x14ac:dyDescent="0.3">
      <c r="A50" s="2">
        <v>39</v>
      </c>
      <c r="B50" s="3">
        <f t="shared" si="4"/>
        <v>0.99993394017867576</v>
      </c>
      <c r="C50" s="3">
        <f t="shared" si="5"/>
        <v>2.0000602094200506</v>
      </c>
      <c r="D50" s="3">
        <f t="shared" si="6"/>
        <v>-0.99995791025287506</v>
      </c>
      <c r="E50" s="1" t="str">
        <f t="shared" si="7"/>
        <v>-</v>
      </c>
      <c r="F50" s="8">
        <f t="shared" si="8"/>
        <v>1.9257883305996999E-3</v>
      </c>
      <c r="G50" s="8">
        <f t="shared" si="9"/>
        <v>8.7753377317065803E-4</v>
      </c>
      <c r="H50" s="8">
        <f t="shared" si="10"/>
        <v>1.2269788083821515E-3</v>
      </c>
      <c r="I50" s="23"/>
      <c r="J50" s="1" t="str">
        <f t="shared" si="11"/>
        <v>-</v>
      </c>
      <c r="K50" s="8">
        <f t="shared" si="12"/>
        <v>1.9257883305996999E-3</v>
      </c>
      <c r="L50" s="8">
        <f t="shared" si="13"/>
        <v>8.7753377317065803E-4</v>
      </c>
      <c r="M50" s="8">
        <f t="shared" si="14"/>
        <v>1.2269788083821515E-3</v>
      </c>
    </row>
    <row r="51" spans="1:13" x14ac:dyDescent="0.3">
      <c r="A51" s="2">
        <v>40</v>
      </c>
      <c r="B51" s="3">
        <f t="shared" si="4"/>
        <v>0.99994885041641224</v>
      </c>
      <c r="C51" s="3">
        <f t="shared" si="5"/>
        <v>2.0000466196653561</v>
      </c>
      <c r="D51" s="3">
        <f t="shared" si="6"/>
        <v>-0.99996741025035218</v>
      </c>
      <c r="E51" s="1" t="str">
        <f t="shared" si="7"/>
        <v>-</v>
      </c>
      <c r="F51" s="8">
        <f t="shared" si="8"/>
        <v>1.4911000427939027E-3</v>
      </c>
      <c r="G51" s="8">
        <f t="shared" si="9"/>
        <v>6.7947189634649243E-4</v>
      </c>
      <c r="H51" s="8">
        <f t="shared" si="10"/>
        <v>9.5003070897544545E-4</v>
      </c>
      <c r="I51" s="23"/>
      <c r="J51" s="1" t="str">
        <f t="shared" si="11"/>
        <v>-</v>
      </c>
      <c r="K51" s="8">
        <f t="shared" si="12"/>
        <v>1.4911000427939027E-3</v>
      </c>
      <c r="L51" s="8">
        <f t="shared" si="13"/>
        <v>6.7947189634649243E-4</v>
      </c>
      <c r="M51" s="8">
        <f t="shared" si="14"/>
        <v>9.5003070897544545E-4</v>
      </c>
    </row>
    <row r="52" spans="1:13" x14ac:dyDescent="0.3">
      <c r="A52" s="2">
        <v>41</v>
      </c>
      <c r="B52" s="3">
        <f t="shared" si="4"/>
        <v>0.99996039529249803</v>
      </c>
      <c r="C52" s="3">
        <f t="shared" si="5"/>
        <v>2.0000360972285751</v>
      </c>
      <c r="D52" s="3">
        <f t="shared" si="6"/>
        <v>-0.99997476602130764</v>
      </c>
      <c r="E52" s="1" t="str">
        <f t="shared" si="7"/>
        <v>-</v>
      </c>
      <c r="F52" s="8">
        <f t="shared" si="8"/>
        <v>1.1545333335339226E-3</v>
      </c>
      <c r="G52" s="8">
        <f t="shared" si="9"/>
        <v>5.261123434518939E-4</v>
      </c>
      <c r="H52" s="8">
        <f t="shared" si="10"/>
        <v>7.3559565755043003E-4</v>
      </c>
      <c r="I52" s="23"/>
      <c r="J52" s="1" t="str">
        <f t="shared" si="11"/>
        <v>-</v>
      </c>
      <c r="K52" s="8">
        <f t="shared" si="12"/>
        <v>1.1545333335339226E-3</v>
      </c>
      <c r="L52" s="8">
        <f t="shared" si="13"/>
        <v>5.261123434518939E-4</v>
      </c>
      <c r="M52" s="8">
        <f t="shared" si="14"/>
        <v>7.3559565755043003E-4</v>
      </c>
    </row>
    <row r="53" spans="1:13" x14ac:dyDescent="0.3">
      <c r="A53" s="2">
        <v>42</v>
      </c>
      <c r="B53" s="3">
        <f t="shared" si="4"/>
        <v>0.99996933439636626</v>
      </c>
      <c r="C53" s="3">
        <f t="shared" si="5"/>
        <v>2.0000279497911628</v>
      </c>
      <c r="D53" s="3">
        <f t="shared" si="6"/>
        <v>-0.99998046153506792</v>
      </c>
      <c r="E53" s="1" t="str">
        <f t="shared" si="7"/>
        <v>-</v>
      </c>
      <c r="F53" s="8">
        <f t="shared" si="8"/>
        <v>8.9393779996554024E-4</v>
      </c>
      <c r="G53" s="8">
        <f t="shared" si="9"/>
        <v>4.0736617771455113E-4</v>
      </c>
      <c r="H53" s="8">
        <f t="shared" si="10"/>
        <v>5.6956250440545102E-4</v>
      </c>
      <c r="I53" s="23"/>
      <c r="J53" s="1" t="str">
        <f t="shared" si="11"/>
        <v>-</v>
      </c>
      <c r="K53" s="8">
        <f t="shared" si="12"/>
        <v>8.9393779996554024E-4</v>
      </c>
      <c r="L53" s="8">
        <f t="shared" si="13"/>
        <v>4.0736617771455113E-4</v>
      </c>
      <c r="M53" s="8">
        <f t="shared" si="14"/>
        <v>5.6956250440545102E-4</v>
      </c>
    </row>
    <row r="54" spans="1:13" x14ac:dyDescent="0.3">
      <c r="A54" s="2">
        <v>43</v>
      </c>
      <c r="B54" s="3">
        <f t="shared" si="4"/>
        <v>0.99997625587195249</v>
      </c>
      <c r="C54" s="3">
        <f t="shared" si="5"/>
        <v>2.00002164129649</v>
      </c>
      <c r="D54" s="3">
        <f t="shared" si="6"/>
        <v>-0.99998487152515403</v>
      </c>
      <c r="E54" s="1" t="str">
        <f t="shared" si="7"/>
        <v>-</v>
      </c>
      <c r="F54" s="8">
        <f t="shared" si="8"/>
        <v>6.9216399345350347E-4</v>
      </c>
      <c r="G54" s="8">
        <f t="shared" si="9"/>
        <v>3.154213205802734E-4</v>
      </c>
      <c r="H54" s="8">
        <f t="shared" si="10"/>
        <v>4.4100568035406287E-4</v>
      </c>
      <c r="I54" s="23"/>
      <c r="J54" s="1" t="str">
        <f t="shared" si="11"/>
        <v>-</v>
      </c>
      <c r="K54" s="8">
        <f t="shared" si="12"/>
        <v>6.9216399345350347E-4</v>
      </c>
      <c r="L54" s="8">
        <f t="shared" si="13"/>
        <v>3.154213205802734E-4</v>
      </c>
      <c r="M54" s="8">
        <f t="shared" si="14"/>
        <v>4.4100568035406287E-4</v>
      </c>
    </row>
    <row r="55" spans="1:13" x14ac:dyDescent="0.3">
      <c r="A55" s="2">
        <v>44</v>
      </c>
      <c r="B55" s="3">
        <f t="shared" si="4"/>
        <v>0.99998161511433203</v>
      </c>
      <c r="C55" s="3">
        <f t="shared" si="5"/>
        <v>2.0000167566802571</v>
      </c>
      <c r="D55" s="3">
        <f t="shared" si="6"/>
        <v>-0.9999882861446916</v>
      </c>
      <c r="E55" s="1" t="str">
        <f t="shared" si="7"/>
        <v>-</v>
      </c>
      <c r="F55" s="8">
        <f t="shared" si="8"/>
        <v>5.3593409104133317E-4</v>
      </c>
      <c r="G55" s="8">
        <f t="shared" si="9"/>
        <v>2.4422876540960037E-4</v>
      </c>
      <c r="H55" s="8">
        <f t="shared" si="10"/>
        <v>3.4146595363950129E-4</v>
      </c>
      <c r="I55" s="23"/>
      <c r="J55" s="1" t="str">
        <f t="shared" si="11"/>
        <v>-</v>
      </c>
      <c r="K55" s="8">
        <f t="shared" si="12"/>
        <v>5.3593409104133317E-4</v>
      </c>
      <c r="L55" s="8">
        <f t="shared" si="13"/>
        <v>2.4422876540960037E-4</v>
      </c>
      <c r="M55" s="8">
        <f t="shared" si="14"/>
        <v>3.4146595363950129E-4</v>
      </c>
    </row>
    <row r="56" spans="1:13" x14ac:dyDescent="0.3">
      <c r="A56" s="2">
        <v>45</v>
      </c>
      <c r="B56" s="3">
        <f t="shared" si="4"/>
        <v>0.99998576473221723</v>
      </c>
      <c r="C56" s="3">
        <f t="shared" si="5"/>
        <v>2.0000129745615451</v>
      </c>
      <c r="D56" s="3">
        <f t="shared" si="6"/>
        <v>-0.99999093005689077</v>
      </c>
      <c r="E56" s="1" t="str">
        <f t="shared" si="7"/>
        <v>-</v>
      </c>
      <c r="F56" s="8">
        <f t="shared" si="8"/>
        <v>4.1496769569589941E-4</v>
      </c>
      <c r="G56" s="8">
        <f t="shared" si="9"/>
        <v>1.8910470882427897E-4</v>
      </c>
      <c r="H56" s="8">
        <f t="shared" si="10"/>
        <v>2.6439361795246586E-4</v>
      </c>
      <c r="I56" s="23"/>
      <c r="J56" s="1" t="str">
        <f t="shared" si="11"/>
        <v>-</v>
      </c>
      <c r="K56" s="8">
        <f t="shared" si="12"/>
        <v>4.1496769569589941E-4</v>
      </c>
      <c r="L56" s="8">
        <f t="shared" si="13"/>
        <v>1.8910470882427897E-4</v>
      </c>
      <c r="M56" s="8">
        <f t="shared" si="14"/>
        <v>2.6439361795246586E-4</v>
      </c>
    </row>
    <row r="57" spans="1:13" x14ac:dyDescent="0.3">
      <c r="A57" s="2">
        <v>46</v>
      </c>
      <c r="B57" s="3">
        <f t="shared" si="4"/>
        <v>0.99998897774767281</v>
      </c>
      <c r="C57" s="3">
        <f t="shared" si="5"/>
        <v>2.0000100460977182</v>
      </c>
      <c r="D57" s="3">
        <f t="shared" si="6"/>
        <v>-0.99999297721665159</v>
      </c>
      <c r="E57" s="1" t="str">
        <f t="shared" si="7"/>
        <v>-</v>
      </c>
      <c r="F57" s="8">
        <f t="shared" si="8"/>
        <v>3.2130508706406042E-4</v>
      </c>
      <c r="G57" s="8">
        <f t="shared" si="9"/>
        <v>1.4642245586234858E-4</v>
      </c>
      <c r="H57" s="8">
        <f t="shared" si="10"/>
        <v>2.0471741376811502E-4</v>
      </c>
      <c r="I57" s="23"/>
      <c r="J57" s="1" t="str">
        <f t="shared" si="11"/>
        <v>-</v>
      </c>
      <c r="K57" s="8">
        <f t="shared" si="12"/>
        <v>3.2130508706406042E-4</v>
      </c>
      <c r="L57" s="8">
        <f t="shared" si="13"/>
        <v>1.4642245586234858E-4</v>
      </c>
      <c r="M57" s="8">
        <f t="shared" si="14"/>
        <v>2.0471741376811502E-4</v>
      </c>
    </row>
    <row r="58" spans="1:13" x14ac:dyDescent="0.3">
      <c r="A58" s="2">
        <v>47</v>
      </c>
      <c r="B58" s="3">
        <f t="shared" si="4"/>
        <v>0.99999146555946672</v>
      </c>
      <c r="C58" s="3">
        <f t="shared" si="5"/>
        <v>2.0000077786119408</v>
      </c>
      <c r="D58" s="3">
        <f t="shared" si="6"/>
        <v>-0.99999456231584205</v>
      </c>
      <c r="E58" s="1" t="str">
        <f t="shared" si="7"/>
        <v>-</v>
      </c>
      <c r="F58" s="8">
        <f t="shared" si="8"/>
        <v>2.4878330261683554E-4</v>
      </c>
      <c r="G58" s="8">
        <f t="shared" si="9"/>
        <v>1.1337384792256743E-4</v>
      </c>
      <c r="H58" s="8">
        <f t="shared" si="10"/>
        <v>1.5851078097754191E-4</v>
      </c>
      <c r="I58" s="23"/>
      <c r="J58" s="1" t="str">
        <f t="shared" si="11"/>
        <v>-</v>
      </c>
      <c r="K58" s="8">
        <f t="shared" si="12"/>
        <v>2.4878330261683554E-4</v>
      </c>
      <c r="L58" s="8">
        <f t="shared" si="13"/>
        <v>1.1337384792256743E-4</v>
      </c>
      <c r="M58" s="8">
        <f t="shared" si="14"/>
        <v>1.5851078097754191E-4</v>
      </c>
    </row>
    <row r="59" spans="1:13" x14ac:dyDescent="0.3">
      <c r="A59" s="2">
        <v>48</v>
      </c>
      <c r="B59" s="3">
        <f t="shared" si="4"/>
        <v>0.99999339185195057</v>
      </c>
      <c r="C59" s="3">
        <f t="shared" si="5"/>
        <v>2.0000060229161036</v>
      </c>
      <c r="D59" s="3">
        <f t="shared" si="6"/>
        <v>-0.99999578964528235</v>
      </c>
      <c r="E59" s="1" t="str">
        <f t="shared" si="7"/>
        <v>-</v>
      </c>
      <c r="F59" s="8">
        <f t="shared" si="8"/>
        <v>1.9263052131659328E-4</v>
      </c>
      <c r="G59" s="8">
        <f t="shared" si="9"/>
        <v>8.7784527498470074E-5</v>
      </c>
      <c r="H59" s="8">
        <f t="shared" si="10"/>
        <v>1.2273346078149624E-4</v>
      </c>
      <c r="I59" s="23"/>
      <c r="J59" s="1" t="str">
        <f t="shared" si="11"/>
        <v>-</v>
      </c>
      <c r="K59" s="8">
        <f t="shared" si="12"/>
        <v>1.9263052131659328E-4</v>
      </c>
      <c r="L59" s="8">
        <f t="shared" si="13"/>
        <v>8.7784527498470074E-5</v>
      </c>
      <c r="M59" s="8">
        <f t="shared" si="14"/>
        <v>1.2273346078149624E-4</v>
      </c>
    </row>
    <row r="60" spans="1:13" x14ac:dyDescent="0.3">
      <c r="A60" s="2">
        <v>49</v>
      </c>
      <c r="B60" s="3">
        <f t="shared" si="4"/>
        <v>0.9999948833645893</v>
      </c>
      <c r="C60" s="3">
        <f t="shared" si="5"/>
        <v>2.0000046634950639</v>
      </c>
      <c r="D60" s="3">
        <f t="shared" si="6"/>
        <v>-0.99999673995650851</v>
      </c>
      <c r="E60" s="1" t="str">
        <f t="shared" si="7"/>
        <v>-</v>
      </c>
      <c r="F60" s="8">
        <f t="shared" si="8"/>
        <v>1.4915202702948062E-4</v>
      </c>
      <c r="G60" s="8">
        <f t="shared" si="9"/>
        <v>6.7970893495896114E-5</v>
      </c>
      <c r="H60" s="8">
        <f t="shared" si="10"/>
        <v>9.503143242215477E-5</v>
      </c>
      <c r="I60" s="23"/>
      <c r="J60" s="1" t="str">
        <f t="shared" si="11"/>
        <v>-</v>
      </c>
      <c r="K60" s="8">
        <f t="shared" si="12"/>
        <v>1.4915202702948062E-4</v>
      </c>
      <c r="L60" s="8">
        <f t="shared" si="13"/>
        <v>6.7970893495896114E-5</v>
      </c>
      <c r="M60" s="8">
        <f t="shared" si="14"/>
        <v>9.503143242215477E-5</v>
      </c>
    </row>
    <row r="61" spans="1:13" x14ac:dyDescent="0.3">
      <c r="A61" s="2">
        <v>50</v>
      </c>
      <c r="B61" s="3">
        <f t="shared" si="4"/>
        <v>0.99999603823072225</v>
      </c>
      <c r="C61" s="3">
        <f t="shared" si="5"/>
        <v>2.0000036109063846</v>
      </c>
      <c r="D61" s="3">
        <f t="shared" si="6"/>
        <v>-0.99999747577477915</v>
      </c>
      <c r="E61" s="1" t="str">
        <f t="shared" si="7"/>
        <v>-</v>
      </c>
      <c r="F61" s="8">
        <f t="shared" si="8"/>
        <v>1.1548707082776447E-4</v>
      </c>
      <c r="G61" s="8">
        <f t="shared" si="9"/>
        <v>5.2629338946636587E-5</v>
      </c>
      <c r="H61" s="8">
        <f t="shared" si="10"/>
        <v>7.358201280231177E-5</v>
      </c>
      <c r="I61" s="23"/>
      <c r="J61" s="1" t="str">
        <f t="shared" si="11"/>
        <v>-</v>
      </c>
      <c r="K61" s="8">
        <f t="shared" si="12"/>
        <v>1.1548707082776447E-4</v>
      </c>
      <c r="L61" s="8">
        <f t="shared" si="13"/>
        <v>5.2629338946636587E-5</v>
      </c>
      <c r="M61" s="8">
        <f t="shared" si="14"/>
        <v>7.358201280231177E-5</v>
      </c>
    </row>
    <row r="62" spans="1:13" x14ac:dyDescent="0.3">
      <c r="A62" s="2">
        <v>51</v>
      </c>
      <c r="B62" s="3">
        <f t="shared" si="4"/>
        <v>0.99999693243419729</v>
      </c>
      <c r="C62" s="3">
        <f t="shared" si="5"/>
        <v>2.000002795895512</v>
      </c>
      <c r="D62" s="3">
        <f t="shared" si="6"/>
        <v>-0.99999804551289495</v>
      </c>
      <c r="E62" s="1" t="str">
        <f t="shared" si="7"/>
        <v>-</v>
      </c>
      <c r="F62" s="8">
        <f t="shared" si="8"/>
        <v>8.9420621808006853E-5</v>
      </c>
      <c r="G62" s="8">
        <f t="shared" si="9"/>
        <v>4.0750486661346978E-5</v>
      </c>
      <c r="H62" s="8">
        <f t="shared" si="10"/>
        <v>5.6973922934450231E-5</v>
      </c>
      <c r="I62" s="23"/>
      <c r="J62" s="1" t="str">
        <f t="shared" si="11"/>
        <v>-</v>
      </c>
      <c r="K62" s="8">
        <f t="shared" si="12"/>
        <v>8.9420621808006853E-5</v>
      </c>
      <c r="L62" s="8">
        <f t="shared" si="13"/>
        <v>4.0750486661346978E-5</v>
      </c>
      <c r="M62" s="8">
        <f t="shared" si="14"/>
        <v>5.6973922934450231E-5</v>
      </c>
    </row>
    <row r="63" spans="1:13" x14ac:dyDescent="0.3">
      <c r="A63" s="2">
        <v>52</v>
      </c>
      <c r="B63" s="3">
        <f t="shared" si="4"/>
        <v>0.99999762480869148</v>
      </c>
      <c r="C63" s="3">
        <f t="shared" si="5"/>
        <v>2.0000021648392066</v>
      </c>
      <c r="D63" s="3">
        <f t="shared" si="6"/>
        <v>-0.99999848665649493</v>
      </c>
      <c r="E63" s="1" t="str">
        <f t="shared" si="7"/>
        <v>-</v>
      </c>
      <c r="F63" s="8">
        <f t="shared" si="8"/>
        <v>6.9237613870803312E-5</v>
      </c>
      <c r="G63" s="8">
        <f t="shared" si="9"/>
        <v>3.1552781118324928E-5</v>
      </c>
      <c r="H63" s="8">
        <f t="shared" si="10"/>
        <v>4.4114426758574156E-5</v>
      </c>
      <c r="I63" s="23"/>
      <c r="J63" s="1" t="str">
        <f t="shared" si="11"/>
        <v>-</v>
      </c>
      <c r="K63" s="8">
        <f t="shared" si="12"/>
        <v>6.9237613870803312E-5</v>
      </c>
      <c r="L63" s="8">
        <f t="shared" si="13"/>
        <v>3.1552781118324928E-5</v>
      </c>
      <c r="M63" s="8">
        <f t="shared" si="14"/>
        <v>4.4114426758574156E-5</v>
      </c>
    </row>
    <row r="64" spans="1:13" x14ac:dyDescent="0.3">
      <c r="A64" s="2">
        <v>53</v>
      </c>
      <c r="B64" s="3">
        <f t="shared" si="4"/>
        <v>0.99999816090864413</v>
      </c>
      <c r="C64" s="3">
        <f t="shared" si="5"/>
        <v>2.0000016762174302</v>
      </c>
      <c r="D64" s="3">
        <f t="shared" si="6"/>
        <v>-0.99999882823040465</v>
      </c>
      <c r="E64" s="1" t="str">
        <f t="shared" si="7"/>
        <v>-</v>
      </c>
      <c r="F64" s="8">
        <f t="shared" si="8"/>
        <v>5.3610093859129314E-5</v>
      </c>
      <c r="G64" s="8">
        <f t="shared" si="9"/>
        <v>2.4431068342774772E-5</v>
      </c>
      <c r="H64" s="8">
        <f t="shared" si="10"/>
        <v>3.4157430995873585E-5</v>
      </c>
      <c r="I64" s="23"/>
      <c r="J64" s="1" t="str">
        <f t="shared" si="11"/>
        <v>-</v>
      </c>
      <c r="K64" s="8">
        <f t="shared" si="12"/>
        <v>5.3610093859129314E-5</v>
      </c>
      <c r="L64" s="8">
        <f t="shared" si="13"/>
        <v>2.4431068342774772E-5</v>
      </c>
      <c r="M64" s="8">
        <f t="shared" si="14"/>
        <v>3.4157430995873585E-5</v>
      </c>
    </row>
    <row r="65" spans="1:13" x14ac:dyDescent="0.3">
      <c r="A65" s="2">
        <v>54</v>
      </c>
      <c r="B65" s="3">
        <f t="shared" si="4"/>
        <v>0.99999857600648723</v>
      </c>
      <c r="C65" s="3">
        <f t="shared" si="5"/>
        <v>2.0000012978815538</v>
      </c>
      <c r="D65" s="3">
        <f t="shared" si="6"/>
        <v>-0.99999909270831122</v>
      </c>
      <c r="E65" s="1" t="str">
        <f t="shared" si="7"/>
        <v>-</v>
      </c>
      <c r="F65" s="8">
        <f t="shared" si="8"/>
        <v>4.150984341958218E-5</v>
      </c>
      <c r="G65" s="8">
        <f t="shared" si="9"/>
        <v>1.8916781544396318E-5</v>
      </c>
      <c r="H65" s="8">
        <f t="shared" si="10"/>
        <v>2.6447814653406873E-5</v>
      </c>
      <c r="I65" s="23"/>
      <c r="J65" s="1" t="str">
        <f t="shared" si="11"/>
        <v>-</v>
      </c>
      <c r="K65" s="8">
        <f t="shared" si="12"/>
        <v>4.150984341958218E-5</v>
      </c>
      <c r="L65" s="8">
        <f t="shared" si="13"/>
        <v>1.8916781544396318E-5</v>
      </c>
      <c r="M65" s="8">
        <f t="shared" si="14"/>
        <v>2.6447814653406873E-5</v>
      </c>
    </row>
    <row r="66" spans="1:13" x14ac:dyDescent="0.3">
      <c r="A66" s="2">
        <v>55</v>
      </c>
      <c r="B66" s="3">
        <f t="shared" si="4"/>
        <v>0.99999889741337866</v>
      </c>
      <c r="C66" s="3">
        <f t="shared" si="5"/>
        <v>2.000001004939155</v>
      </c>
      <c r="D66" s="3">
        <f t="shared" si="6"/>
        <v>-0.99999929749140792</v>
      </c>
      <c r="E66" s="1" t="str">
        <f t="shared" si="7"/>
        <v>-</v>
      </c>
      <c r="F66" s="8">
        <f t="shared" si="8"/>
        <v>3.2140724581411263E-5</v>
      </c>
      <c r="G66" s="8">
        <f t="shared" si="9"/>
        <v>1.4647112579419998E-5</v>
      </c>
      <c r="H66" s="8">
        <f t="shared" si="10"/>
        <v>2.0478324056422947E-5</v>
      </c>
      <c r="I66" s="23"/>
      <c r="J66" s="1" t="str">
        <f t="shared" si="11"/>
        <v>-</v>
      </c>
      <c r="K66" s="8">
        <f t="shared" si="12"/>
        <v>3.2140724581411263E-5</v>
      </c>
      <c r="L66" s="8">
        <f t="shared" si="13"/>
        <v>1.4647112579419998E-5</v>
      </c>
      <c r="M66" s="8">
        <f t="shared" si="14"/>
        <v>2.0478324056422947E-5</v>
      </c>
    </row>
    <row r="67" spans="1:13" x14ac:dyDescent="0.3">
      <c r="A67" s="2">
        <v>56</v>
      </c>
      <c r="B67" s="3">
        <f t="shared" si="4"/>
        <v>0.9999991462761264</v>
      </c>
      <c r="C67" s="3">
        <f t="shared" si="5"/>
        <v>2.0000007781162328</v>
      </c>
      <c r="D67" s="3">
        <f t="shared" si="6"/>
        <v>-0.99999945605329776</v>
      </c>
      <c r="E67" s="1" t="str">
        <f t="shared" si="7"/>
        <v>-</v>
      </c>
      <c r="F67" s="8">
        <f t="shared" si="8"/>
        <v>2.4886296020285678E-5</v>
      </c>
      <c r="G67" s="8">
        <f t="shared" si="9"/>
        <v>1.134114169875802E-5</v>
      </c>
      <c r="H67" s="8">
        <f t="shared" si="10"/>
        <v>1.5856197608957804E-5</v>
      </c>
      <c r="I67" s="23"/>
      <c r="J67" s="1" t="str">
        <f t="shared" si="11"/>
        <v>-</v>
      </c>
      <c r="K67" s="8">
        <f t="shared" si="12"/>
        <v>2.4886296020285678E-5</v>
      </c>
      <c r="L67" s="8">
        <f t="shared" si="13"/>
        <v>1.134114169875802E-5</v>
      </c>
      <c r="M67" s="8">
        <f t="shared" si="14"/>
        <v>1.5856197608957804E-5</v>
      </c>
    </row>
    <row r="68" spans="1:13" x14ac:dyDescent="0.3">
      <c r="A68" s="2">
        <v>57</v>
      </c>
      <c r="B68" s="3">
        <f t="shared" si="4"/>
        <v>0.99999933896853244</v>
      </c>
      <c r="C68" s="3">
        <f t="shared" si="5"/>
        <v>2.0000006024890848</v>
      </c>
      <c r="D68" s="3">
        <f t="shared" si="6"/>
        <v>-0.99999957882648238</v>
      </c>
      <c r="E68" s="1" t="str">
        <f t="shared" si="7"/>
        <v>-</v>
      </c>
      <c r="F68" s="8">
        <f t="shared" si="8"/>
        <v>1.9269253340719765E-5</v>
      </c>
      <c r="G68" s="8">
        <f t="shared" si="9"/>
        <v>8.7813547514568948E-6</v>
      </c>
      <c r="H68" s="8">
        <f t="shared" si="10"/>
        <v>1.2277323632756547E-5</v>
      </c>
      <c r="I68" s="23"/>
      <c r="J68" s="1" t="str">
        <f t="shared" si="11"/>
        <v>-</v>
      </c>
      <c r="K68" s="8">
        <f t="shared" si="12"/>
        <v>1.9269253340719765E-5</v>
      </c>
      <c r="L68" s="8">
        <f t="shared" si="13"/>
        <v>8.7813547514568948E-6</v>
      </c>
      <c r="M68" s="8">
        <f t="shared" si="14"/>
        <v>1.2277323632756547E-5</v>
      </c>
    </row>
    <row r="69" spans="1:13" x14ac:dyDescent="0.3">
      <c r="A69" s="2">
        <v>58</v>
      </c>
      <c r="B69" s="3">
        <f t="shared" si="4"/>
        <v>0.99999948816869877</v>
      </c>
      <c r="C69" s="3">
        <f t="shared" si="5"/>
        <v>2.0000004665024091</v>
      </c>
      <c r="D69" s="3">
        <f t="shared" si="6"/>
        <v>-0.99999967388876332</v>
      </c>
      <c r="E69" s="1" t="str">
        <f t="shared" si="7"/>
        <v>-</v>
      </c>
      <c r="F69" s="8">
        <f t="shared" si="8"/>
        <v>1.4920024269815122E-5</v>
      </c>
      <c r="G69" s="8">
        <f t="shared" si="9"/>
        <v>6.7993321989379674E-6</v>
      </c>
      <c r="H69" s="8">
        <f t="shared" si="10"/>
        <v>9.5062311936808397E-6</v>
      </c>
      <c r="I69" s="23"/>
      <c r="J69" s="1" t="str">
        <f t="shared" si="11"/>
        <v>-</v>
      </c>
      <c r="K69" s="8">
        <f t="shared" si="12"/>
        <v>1.4920024269815122E-5</v>
      </c>
      <c r="L69" s="8">
        <f t="shared" si="13"/>
        <v>6.7993321989379674E-6</v>
      </c>
      <c r="M69" s="8">
        <f t="shared" si="14"/>
        <v>9.5062311936808397E-6</v>
      </c>
    </row>
    <row r="70" spans="1:13" x14ac:dyDescent="0.3">
      <c r="A70" s="2">
        <v>59</v>
      </c>
      <c r="B70" s="3">
        <f t="shared" si="4"/>
        <v>0.99999960369317709</v>
      </c>
      <c r="C70" s="3">
        <f t="shared" si="5"/>
        <v>2.0000003612090298</v>
      </c>
      <c r="D70" s="3">
        <f t="shared" si="6"/>
        <v>-0.99999974749471576</v>
      </c>
      <c r="E70" s="1" t="str">
        <f t="shared" si="7"/>
        <v>-</v>
      </c>
      <c r="F70" s="8">
        <f t="shared" si="8"/>
        <v>1.1552452410002119E-5</v>
      </c>
      <c r="G70" s="8">
        <f t="shared" si="9"/>
        <v>5.2646680166190081E-6</v>
      </c>
      <c r="H70" s="8">
        <f t="shared" si="10"/>
        <v>7.3605971030107832E-6</v>
      </c>
      <c r="I70" s="23"/>
      <c r="J70" s="1" t="str">
        <f t="shared" si="11"/>
        <v>-</v>
      </c>
      <c r="K70" s="8">
        <f t="shared" si="12"/>
        <v>1.1552452410002119E-5</v>
      </c>
      <c r="L70" s="8">
        <f t="shared" si="13"/>
        <v>5.2646680166190081E-6</v>
      </c>
      <c r="M70" s="8">
        <f t="shared" si="14"/>
        <v>7.3605971030107832E-6</v>
      </c>
    </row>
    <row r="71" spans="1:13" x14ac:dyDescent="0.3">
      <c r="A71" s="2">
        <v>60</v>
      </c>
      <c r="B71" s="3">
        <f t="shared" si="4"/>
        <v>0.99999969314284298</v>
      </c>
      <c r="C71" s="3">
        <f t="shared" si="5"/>
        <v>2.0000002796812204</v>
      </c>
      <c r="D71" s="3">
        <f t="shared" si="6"/>
        <v>-0.9999998044872076</v>
      </c>
      <c r="E71" s="1" t="str">
        <f t="shared" si="7"/>
        <v>-</v>
      </c>
      <c r="F71" s="8">
        <f t="shared" si="8"/>
        <v>8.9449693344802413E-6</v>
      </c>
      <c r="G71" s="8">
        <f t="shared" si="9"/>
        <v>4.0763898995757549E-6</v>
      </c>
      <c r="H71" s="8">
        <f t="shared" si="10"/>
        <v>5.6992502979756916E-6</v>
      </c>
      <c r="I71" s="23"/>
      <c r="J71" s="1" t="str">
        <f t="shared" si="11"/>
        <v>-</v>
      </c>
      <c r="K71" s="8">
        <f t="shared" si="12"/>
        <v>8.9449693344802413E-6</v>
      </c>
      <c r="L71" s="8">
        <f t="shared" si="13"/>
        <v>4.0763898995757549E-6</v>
      </c>
      <c r="M71" s="8">
        <f t="shared" si="14"/>
        <v>5.6992502979756916E-6</v>
      </c>
    </row>
    <row r="72" spans="1:13" x14ac:dyDescent="0.3">
      <c r="A72" s="2">
        <v>61</v>
      </c>
      <c r="B72" s="3">
        <f t="shared" si="4"/>
        <v>0.9999997624029936</v>
      </c>
      <c r="C72" s="3">
        <f t="shared" si="5"/>
        <v>2.0000002165548993</v>
      </c>
      <c r="D72" s="3">
        <f t="shared" si="6"/>
        <v>-0.99999984861603153</v>
      </c>
      <c r="E72" s="1" t="str">
        <f t="shared" si="7"/>
        <v>-</v>
      </c>
      <c r="F72" s="8">
        <f t="shared" si="8"/>
        <v>6.9260167070711169E-6</v>
      </c>
      <c r="G72" s="8">
        <f t="shared" si="9"/>
        <v>3.1563157112079196E-6</v>
      </c>
      <c r="H72" s="8">
        <f t="shared" si="10"/>
        <v>4.4128830608744104E-6</v>
      </c>
      <c r="I72" s="23"/>
      <c r="J72" s="1" t="str">
        <f t="shared" si="11"/>
        <v>-</v>
      </c>
      <c r="K72" s="8">
        <f t="shared" si="12"/>
        <v>6.9260167070711169E-6</v>
      </c>
      <c r="L72" s="8">
        <f t="shared" si="13"/>
        <v>3.1563157112079196E-6</v>
      </c>
      <c r="M72" s="8">
        <f t="shared" si="14"/>
        <v>4.4128830608744104E-6</v>
      </c>
    </row>
    <row r="73" spans="1:13" x14ac:dyDescent="0.3">
      <c r="A73" s="2">
        <v>62</v>
      </c>
      <c r="B73" s="3">
        <f t="shared" si="4"/>
        <v>0.99999981603056609</v>
      </c>
      <c r="C73" s="3">
        <f t="shared" si="5"/>
        <v>2.000000167676701</v>
      </c>
      <c r="D73" s="3">
        <f t="shared" si="6"/>
        <v>-0.99999988278462182</v>
      </c>
      <c r="E73" s="1" t="str">
        <f t="shared" si="7"/>
        <v>-</v>
      </c>
      <c r="F73" s="8">
        <f t="shared" si="8"/>
        <v>5.3627582359666619E-6</v>
      </c>
      <c r="G73" s="8">
        <f t="shared" si="9"/>
        <v>2.443909713987745E-6</v>
      </c>
      <c r="H73" s="8">
        <f t="shared" si="10"/>
        <v>3.4168594295568949E-6</v>
      </c>
      <c r="I73" s="23"/>
      <c r="J73" s="1" t="str">
        <f t="shared" si="11"/>
        <v>-</v>
      </c>
      <c r="K73" s="8">
        <f t="shared" si="12"/>
        <v>5.3627582359666619E-6</v>
      </c>
      <c r="L73" s="8">
        <f t="shared" si="13"/>
        <v>2.443909713987745E-6</v>
      </c>
      <c r="M73" s="8">
        <f t="shared" si="14"/>
        <v>3.4168594295568949E-6</v>
      </c>
    </row>
    <row r="74" spans="1:13" x14ac:dyDescent="0.3">
      <c r="A74" s="2">
        <v>63</v>
      </c>
      <c r="B74" s="3">
        <f t="shared" si="4"/>
        <v>0.99999985755396037</v>
      </c>
      <c r="C74" s="3">
        <f t="shared" si="5"/>
        <v>2.0000001298307089</v>
      </c>
      <c r="D74" s="3">
        <f t="shared" si="6"/>
        <v>-0.99999990924108373</v>
      </c>
      <c r="E74" s="1" t="str">
        <f t="shared" si="7"/>
        <v>-</v>
      </c>
      <c r="F74" s="8">
        <f t="shared" si="8"/>
        <v>4.1523400193385926E-6</v>
      </c>
      <c r="G74" s="8">
        <f t="shared" si="9"/>
        <v>1.8922994830596923E-6</v>
      </c>
      <c r="H74" s="8">
        <f t="shared" si="10"/>
        <v>2.6456464311289321E-6</v>
      </c>
      <c r="I74" s="23"/>
      <c r="J74" s="1" t="str">
        <f t="shared" si="11"/>
        <v>-</v>
      </c>
      <c r="K74" s="8">
        <f t="shared" si="12"/>
        <v>4.1523400193385926E-6</v>
      </c>
      <c r="L74" s="8">
        <f t="shared" si="13"/>
        <v>1.8922994830596923E-6</v>
      </c>
      <c r="M74" s="8">
        <f t="shared" si="14"/>
        <v>2.6456464311289321E-6</v>
      </c>
    </row>
    <row r="75" spans="1:13" x14ac:dyDescent="0.3">
      <c r="A75" s="2">
        <v>64</v>
      </c>
      <c r="B75" s="3">
        <f t="shared" si="4"/>
        <v>0.99999988970518738</v>
      </c>
      <c r="C75" s="3">
        <f t="shared" si="5"/>
        <v>2.0000001005268642</v>
      </c>
      <c r="D75" s="3">
        <f t="shared" si="6"/>
        <v>-0.99999992972610774</v>
      </c>
      <c r="E75" s="1" t="str">
        <f t="shared" si="7"/>
        <v>-</v>
      </c>
      <c r="F75" s="8">
        <f t="shared" si="8"/>
        <v>3.2151230560168434E-6</v>
      </c>
      <c r="G75" s="8">
        <f t="shared" si="9"/>
        <v>1.465192160561238E-6</v>
      </c>
      <c r="H75" s="8">
        <f t="shared" si="10"/>
        <v>2.0485025449981765E-6</v>
      </c>
      <c r="I75" s="23"/>
      <c r="J75" s="1" t="str">
        <f t="shared" si="11"/>
        <v>-</v>
      </c>
      <c r="K75" s="8">
        <f t="shared" si="12"/>
        <v>3.2151230560168434E-6</v>
      </c>
      <c r="L75" s="8">
        <f t="shared" si="13"/>
        <v>1.465192160561238E-6</v>
      </c>
      <c r="M75" s="8">
        <f t="shared" si="14"/>
        <v>2.0485025449981765E-6</v>
      </c>
    </row>
    <row r="76" spans="1:13" x14ac:dyDescent="0.3">
      <c r="A76" s="2">
        <v>65</v>
      </c>
      <c r="B76" s="3">
        <f t="shared" si="4"/>
        <v>0.99999991459962179</v>
      </c>
      <c r="C76" s="3">
        <f t="shared" si="5"/>
        <v>2.0000000778371354</v>
      </c>
      <c r="D76" s="3">
        <f t="shared" si="6"/>
        <v>-0.99999994558749539</v>
      </c>
      <c r="E76" s="1" t="str">
        <f t="shared" si="7"/>
        <v>-</v>
      </c>
      <c r="F76" s="8">
        <f t="shared" si="8"/>
        <v>2.489443652878334E-6</v>
      </c>
      <c r="G76" s="8">
        <f t="shared" si="9"/>
        <v>1.1344863939731625E-6</v>
      </c>
      <c r="H76" s="8">
        <f t="shared" si="10"/>
        <v>1.5861388510811008E-6</v>
      </c>
      <c r="I76" s="23"/>
      <c r="J76" s="1" t="str">
        <f t="shared" si="11"/>
        <v>-</v>
      </c>
      <c r="K76" s="8">
        <f t="shared" si="12"/>
        <v>2.489443652878334E-6</v>
      </c>
      <c r="L76" s="8">
        <f t="shared" si="13"/>
        <v>1.1344863939731625E-6</v>
      </c>
      <c r="M76" s="8">
        <f t="shared" si="14"/>
        <v>1.5861388510811008E-6</v>
      </c>
    </row>
    <row r="77" spans="1:13" x14ac:dyDescent="0.3">
      <c r="A77" s="2">
        <v>66</v>
      </c>
      <c r="B77" s="3">
        <f t="shared" ref="B77:B140" si="15">1/2*(3-C76-D76)</f>
        <v>0.99999993387517994</v>
      </c>
      <c r="C77" s="3">
        <f t="shared" ref="C77:C140" si="16">1/2*(6-B77+D76)</f>
        <v>2.0000000602686625</v>
      </c>
      <c r="D77" s="3">
        <f t="shared" ref="D77:D140" si="17">1/3*(-4-B77+C77)</f>
        <v>-0.999999957868839</v>
      </c>
      <c r="E77" s="1" t="str">
        <f t="shared" ref="E77:E93" si="18">IF(AND(F77&lt;$M$8,G77&lt;$M$8,H77&lt;$M$8),"Converged","-")</f>
        <v>-</v>
      </c>
      <c r="F77" s="8">
        <f t="shared" ref="F77:F93" si="19">ABS((B77-B76)/B77)*100</f>
        <v>1.9275559424215793E-6</v>
      </c>
      <c r="G77" s="8">
        <f t="shared" ref="G77:G93" si="20">ABS((C77-C76)/C77)*100</f>
        <v>8.7842361846369235E-7</v>
      </c>
      <c r="H77" s="8">
        <f t="shared" ref="H77:H93" si="21">ABS((D77-D76)/D77)*100</f>
        <v>1.228134412618272E-6</v>
      </c>
      <c r="I77" s="23"/>
      <c r="J77" s="1" t="str">
        <f t="shared" ref="J77:J93" si="22">IF(SUM(K77:M77)&lt;$M$8,"Converged","-")</f>
        <v>-</v>
      </c>
      <c r="K77" s="8">
        <f t="shared" ref="K77:K93" si="23">ABS((B77-B76)/B77)*100</f>
        <v>1.9275559424215793E-6</v>
      </c>
      <c r="L77" s="8">
        <f t="shared" ref="L77:L93" si="24">ABS((C77-C76)/C77)*100</f>
        <v>8.7842361846369235E-7</v>
      </c>
      <c r="M77" s="8">
        <f t="shared" ref="M77:M93" si="25">ABS((D77-D76)/D77)*100</f>
        <v>1.228134412618272E-6</v>
      </c>
    </row>
    <row r="78" spans="1:13" x14ac:dyDescent="0.3">
      <c r="A78" s="2">
        <v>67</v>
      </c>
      <c r="B78" s="3">
        <f t="shared" si="15"/>
        <v>0.99999994880008825</v>
      </c>
      <c r="C78" s="3">
        <f t="shared" si="16"/>
        <v>2.0000000466655363</v>
      </c>
      <c r="D78" s="3">
        <f t="shared" si="17"/>
        <v>-0.99999996737818386</v>
      </c>
      <c r="E78" s="1" t="str">
        <f t="shared" si="18"/>
        <v>-</v>
      </c>
      <c r="F78" s="8">
        <f t="shared" si="19"/>
        <v>1.4924909073386906E-6</v>
      </c>
      <c r="G78" s="8">
        <f t="shared" si="20"/>
        <v>6.8015629318200898E-7</v>
      </c>
      <c r="H78" s="8">
        <f t="shared" si="21"/>
        <v>9.5093451773100905E-7</v>
      </c>
      <c r="I78" s="23"/>
      <c r="J78" s="1" t="str">
        <f t="shared" si="22"/>
        <v>-</v>
      </c>
      <c r="K78" s="8">
        <f t="shared" si="23"/>
        <v>1.4924909073386906E-6</v>
      </c>
      <c r="L78" s="8">
        <f t="shared" si="24"/>
        <v>6.8015629318200898E-7</v>
      </c>
      <c r="M78" s="8">
        <f t="shared" si="25"/>
        <v>9.5093451773100905E-7</v>
      </c>
    </row>
    <row r="79" spans="1:13" x14ac:dyDescent="0.3">
      <c r="A79" s="2">
        <v>68</v>
      </c>
      <c r="B79" s="3">
        <f t="shared" si="15"/>
        <v>0.99999996035632377</v>
      </c>
      <c r="C79" s="3">
        <f t="shared" si="16"/>
        <v>2.0000000361327461</v>
      </c>
      <c r="D79" s="3">
        <f t="shared" si="17"/>
        <v>-0.99999997474119262</v>
      </c>
      <c r="E79" s="1" t="str">
        <f t="shared" si="18"/>
        <v>-</v>
      </c>
      <c r="F79" s="8">
        <f t="shared" si="19"/>
        <v>1.1556235982200048E-6</v>
      </c>
      <c r="G79" s="8">
        <f t="shared" si="20"/>
        <v>5.2663950026469303E-7</v>
      </c>
      <c r="H79" s="8">
        <f t="shared" si="21"/>
        <v>7.3630089442351775E-7</v>
      </c>
      <c r="I79" s="23"/>
      <c r="J79" s="1" t="str">
        <f t="shared" si="22"/>
        <v>-</v>
      </c>
      <c r="K79" s="8">
        <f t="shared" si="23"/>
        <v>1.1556235982200048E-6</v>
      </c>
      <c r="L79" s="8">
        <f t="shared" si="24"/>
        <v>5.2663950026469303E-7</v>
      </c>
      <c r="M79" s="8">
        <f t="shared" si="25"/>
        <v>7.3630089442351775E-7</v>
      </c>
    </row>
    <row r="80" spans="1:13" x14ac:dyDescent="0.3">
      <c r="A80" s="2">
        <v>69</v>
      </c>
      <c r="B80" s="3">
        <f t="shared" si="15"/>
        <v>0.99999996930422319</v>
      </c>
      <c r="C80" s="3">
        <f t="shared" si="16"/>
        <v>2.000000027977292</v>
      </c>
      <c r="D80" s="3">
        <f t="shared" si="17"/>
        <v>-0.99999998044231042</v>
      </c>
      <c r="E80" s="1" t="str">
        <f t="shared" si="18"/>
        <v>Converged</v>
      </c>
      <c r="F80" s="8">
        <f t="shared" si="19"/>
        <v>8.9478996960703445E-7</v>
      </c>
      <c r="G80" s="8">
        <f t="shared" si="20"/>
        <v>4.0777269878736117E-7</v>
      </c>
      <c r="H80" s="8">
        <f t="shared" si="21"/>
        <v>5.7011179115727914E-7</v>
      </c>
      <c r="I80" s="23"/>
      <c r="J80" s="1" t="str">
        <f t="shared" si="22"/>
        <v>-</v>
      </c>
      <c r="K80" s="8">
        <f t="shared" si="23"/>
        <v>8.9478996960703445E-7</v>
      </c>
      <c r="L80" s="8">
        <f t="shared" si="24"/>
        <v>4.0777269878736117E-7</v>
      </c>
      <c r="M80" s="8">
        <f t="shared" si="25"/>
        <v>5.7011179115727914E-7</v>
      </c>
    </row>
    <row r="81" spans="1:13" x14ac:dyDescent="0.3">
      <c r="A81" s="2">
        <v>70</v>
      </c>
      <c r="B81" s="3">
        <f t="shared" si="15"/>
        <v>0.99999997623250914</v>
      </c>
      <c r="C81" s="3">
        <f t="shared" si="16"/>
        <v>2.0000000216625904</v>
      </c>
      <c r="D81" s="3">
        <f t="shared" si="17"/>
        <v>-0.99999998485663943</v>
      </c>
      <c r="E81" s="1" t="str">
        <f t="shared" si="18"/>
        <v>Converged</v>
      </c>
      <c r="F81" s="8">
        <f t="shared" si="19"/>
        <v>6.9282861096195169E-7</v>
      </c>
      <c r="G81" s="8">
        <f t="shared" si="20"/>
        <v>3.1573507910354087E-7</v>
      </c>
      <c r="H81" s="8">
        <f t="shared" si="21"/>
        <v>4.4143290802835238E-7</v>
      </c>
      <c r="I81" s="23"/>
      <c r="J81" s="1" t="str">
        <f t="shared" si="22"/>
        <v>-</v>
      </c>
      <c r="K81" s="8">
        <f t="shared" si="23"/>
        <v>6.9282861096195169E-7</v>
      </c>
      <c r="L81" s="8">
        <f t="shared" si="24"/>
        <v>3.1573507910354087E-7</v>
      </c>
      <c r="M81" s="8">
        <f t="shared" si="25"/>
        <v>4.4143290802835238E-7</v>
      </c>
    </row>
    <row r="82" spans="1:13" x14ac:dyDescent="0.3">
      <c r="A82" s="2">
        <v>71</v>
      </c>
      <c r="B82" s="3">
        <f t="shared" si="15"/>
        <v>0.99999998159702452</v>
      </c>
      <c r="C82" s="3">
        <f t="shared" si="16"/>
        <v>2.0000000167731677</v>
      </c>
      <c r="D82" s="3">
        <f t="shared" si="17"/>
        <v>-0.999999988274619</v>
      </c>
      <c r="E82" s="1" t="str">
        <f t="shared" si="18"/>
        <v>Converged</v>
      </c>
      <c r="F82" s="8">
        <f t="shared" si="19"/>
        <v>5.364515486185678E-7</v>
      </c>
      <c r="G82" s="8">
        <f t="shared" si="20"/>
        <v>2.4447113017664236E-7</v>
      </c>
      <c r="H82" s="8">
        <f t="shared" si="21"/>
        <v>3.4179796061220621E-7</v>
      </c>
      <c r="I82" s="23"/>
      <c r="J82" s="1" t="str">
        <f t="shared" si="22"/>
        <v>-</v>
      </c>
      <c r="K82" s="8">
        <f t="shared" si="23"/>
        <v>5.364515486185678E-7</v>
      </c>
      <c r="L82" s="8">
        <f t="shared" si="24"/>
        <v>2.4447113017664236E-7</v>
      </c>
      <c r="M82" s="8">
        <f t="shared" si="25"/>
        <v>3.4179796061220621E-7</v>
      </c>
    </row>
    <row r="83" spans="1:13" x14ac:dyDescent="0.3">
      <c r="A83" s="2">
        <v>72</v>
      </c>
      <c r="B83" s="3">
        <f t="shared" si="15"/>
        <v>0.99999998575072557</v>
      </c>
      <c r="C83" s="3">
        <f t="shared" si="16"/>
        <v>2.0000000129873277</v>
      </c>
      <c r="D83" s="3">
        <f t="shared" si="17"/>
        <v>-0.99999999092113256</v>
      </c>
      <c r="E83" s="1" t="str">
        <f t="shared" si="18"/>
        <v>Converged</v>
      </c>
      <c r="F83" s="8">
        <f t="shared" si="19"/>
        <v>4.1537011089677498E-7</v>
      </c>
      <c r="G83" s="8">
        <f t="shared" si="20"/>
        <v>1.8929200306420791E-7</v>
      </c>
      <c r="H83" s="8">
        <f t="shared" si="21"/>
        <v>2.6465135878804936E-7</v>
      </c>
      <c r="I83" s="23"/>
      <c r="J83" s="1" t="str">
        <f t="shared" si="22"/>
        <v>Converged</v>
      </c>
      <c r="K83" s="8">
        <f t="shared" si="23"/>
        <v>4.1537011089677498E-7</v>
      </c>
      <c r="L83" s="8">
        <f t="shared" si="24"/>
        <v>1.8929200306420791E-7</v>
      </c>
      <c r="M83" s="8">
        <f t="shared" si="25"/>
        <v>2.6465135878804936E-7</v>
      </c>
    </row>
    <row r="84" spans="1:13" x14ac:dyDescent="0.3">
      <c r="A84" s="2">
        <v>73</v>
      </c>
      <c r="B84" s="3">
        <f t="shared" si="15"/>
        <v>0.99999998896690245</v>
      </c>
      <c r="C84" s="3">
        <f t="shared" si="16"/>
        <v>2.0000000100559827</v>
      </c>
      <c r="D84" s="3">
        <f t="shared" si="17"/>
        <v>-0.9999999929703064</v>
      </c>
      <c r="E84" s="1" t="str">
        <f t="shared" si="18"/>
        <v>Converged</v>
      </c>
      <c r="F84" s="8">
        <f t="shared" si="19"/>
        <v>3.2161769158561839E-7</v>
      </c>
      <c r="G84" s="8">
        <f t="shared" si="20"/>
        <v>1.4656724649089682E-7</v>
      </c>
      <c r="H84" s="8">
        <f t="shared" si="21"/>
        <v>2.0491738450255963E-7</v>
      </c>
      <c r="I84" s="23"/>
      <c r="J84" s="1" t="str">
        <f t="shared" si="22"/>
        <v>Converged</v>
      </c>
      <c r="K84" s="8">
        <f t="shared" si="23"/>
        <v>3.2161769158561839E-7</v>
      </c>
      <c r="L84" s="8">
        <f t="shared" si="24"/>
        <v>1.4656724649089682E-7</v>
      </c>
      <c r="M84" s="8">
        <f t="shared" si="25"/>
        <v>2.0491738450255963E-7</v>
      </c>
    </row>
    <row r="85" spans="1:13" x14ac:dyDescent="0.3">
      <c r="A85" s="2">
        <v>74</v>
      </c>
      <c r="B85" s="3">
        <f t="shared" si="15"/>
        <v>0.99999999145716179</v>
      </c>
      <c r="C85" s="3">
        <f t="shared" si="16"/>
        <v>2.0000000077862659</v>
      </c>
      <c r="D85" s="3">
        <f t="shared" si="17"/>
        <v>-0.9999999945569652</v>
      </c>
      <c r="E85" s="1" t="str">
        <f t="shared" si="18"/>
        <v>Converged</v>
      </c>
      <c r="F85" s="8">
        <f t="shared" si="19"/>
        <v>2.4902593533513539E-7</v>
      </c>
      <c r="G85" s="8">
        <f t="shared" si="20"/>
        <v>1.1348584250342242E-7</v>
      </c>
      <c r="H85" s="8">
        <f t="shared" si="21"/>
        <v>1.5866588129785172E-7</v>
      </c>
      <c r="I85" s="23"/>
      <c r="J85" s="1" t="str">
        <f t="shared" si="22"/>
        <v>Converged</v>
      </c>
      <c r="K85" s="8">
        <f t="shared" si="23"/>
        <v>2.4902593533513539E-7</v>
      </c>
      <c r="L85" s="8">
        <f t="shared" si="24"/>
        <v>1.1348584250342242E-7</v>
      </c>
      <c r="M85" s="8">
        <f t="shared" si="25"/>
        <v>1.5866588129785172E-7</v>
      </c>
    </row>
    <row r="86" spans="1:13" x14ac:dyDescent="0.3">
      <c r="A86" s="2">
        <v>75</v>
      </c>
      <c r="B86" s="3">
        <f t="shared" si="15"/>
        <v>0.99999999338534962</v>
      </c>
      <c r="C86" s="3">
        <f t="shared" si="16"/>
        <v>2.0000000060288423</v>
      </c>
      <c r="D86" s="3">
        <f t="shared" si="17"/>
        <v>-0.99999999578550247</v>
      </c>
      <c r="E86" s="1" t="str">
        <f t="shared" si="18"/>
        <v>Converged</v>
      </c>
      <c r="F86" s="8">
        <f t="shared" si="19"/>
        <v>1.9281878443778063E-7</v>
      </c>
      <c r="G86" s="8">
        <f t="shared" si="20"/>
        <v>8.7871176736494403E-8</v>
      </c>
      <c r="H86" s="8">
        <f t="shared" si="21"/>
        <v>1.2285372770910775E-7</v>
      </c>
      <c r="I86" s="23"/>
      <c r="J86" s="1" t="str">
        <f t="shared" si="22"/>
        <v>Converged</v>
      </c>
      <c r="K86" s="8">
        <f t="shared" si="23"/>
        <v>1.9281878443778063E-7</v>
      </c>
      <c r="L86" s="8">
        <f t="shared" si="24"/>
        <v>8.7871176736494403E-8</v>
      </c>
      <c r="M86" s="8">
        <f t="shared" si="25"/>
        <v>1.2285372770910775E-7</v>
      </c>
    </row>
    <row r="87" spans="1:13" x14ac:dyDescent="0.3">
      <c r="A87" s="2">
        <v>76</v>
      </c>
      <c r="B87" s="3">
        <f t="shared" si="15"/>
        <v>0.99999999487833002</v>
      </c>
      <c r="C87" s="3">
        <f t="shared" si="16"/>
        <v>2.0000000046680837</v>
      </c>
      <c r="D87" s="3">
        <f t="shared" si="17"/>
        <v>-0.99999999673674866</v>
      </c>
      <c r="E87" s="1" t="str">
        <f t="shared" si="18"/>
        <v>Converged</v>
      </c>
      <c r="F87" s="8">
        <f t="shared" si="19"/>
        <v>1.4929804136170094E-7</v>
      </c>
      <c r="G87" s="8">
        <f t="shared" si="20"/>
        <v>6.8037930686063045E-8</v>
      </c>
      <c r="H87" s="8">
        <f t="shared" si="21"/>
        <v>9.5124619603034725E-8</v>
      </c>
      <c r="I87" s="23"/>
      <c r="J87" s="1" t="str">
        <f t="shared" si="22"/>
        <v>Converged</v>
      </c>
      <c r="K87" s="8">
        <f t="shared" si="23"/>
        <v>1.4929804136170094E-7</v>
      </c>
      <c r="L87" s="8">
        <f t="shared" si="24"/>
        <v>6.8037930686063045E-8</v>
      </c>
      <c r="M87" s="8">
        <f t="shared" si="25"/>
        <v>9.5124619603034725E-8</v>
      </c>
    </row>
    <row r="88" spans="1:13" x14ac:dyDescent="0.3">
      <c r="A88" s="2">
        <v>77</v>
      </c>
      <c r="B88" s="3">
        <f t="shared" si="15"/>
        <v>0.99999999603433243</v>
      </c>
      <c r="C88" s="3">
        <f t="shared" si="16"/>
        <v>2.0000000036144594</v>
      </c>
      <c r="D88" s="3">
        <f t="shared" si="17"/>
        <v>-0.99999999747329094</v>
      </c>
      <c r="E88" s="1" t="str">
        <f t="shared" si="18"/>
        <v>Converged</v>
      </c>
      <c r="F88" s="8">
        <f t="shared" si="19"/>
        <v>1.1560024094960813E-7</v>
      </c>
      <c r="G88" s="8">
        <f t="shared" si="20"/>
        <v>5.2681214850741743E-8</v>
      </c>
      <c r="H88" s="8">
        <f t="shared" si="21"/>
        <v>7.3654227347870749E-8</v>
      </c>
      <c r="I88" s="23"/>
      <c r="J88" s="1" t="str">
        <f t="shared" si="22"/>
        <v>Converged</v>
      </c>
      <c r="K88" s="8">
        <f t="shared" si="23"/>
        <v>1.1560024094960813E-7</v>
      </c>
      <c r="L88" s="8">
        <f t="shared" si="24"/>
        <v>5.2681214850741743E-8</v>
      </c>
      <c r="M88" s="8">
        <f t="shared" si="25"/>
        <v>7.3654227347870749E-8</v>
      </c>
    </row>
    <row r="89" spans="1:13" x14ac:dyDescent="0.3">
      <c r="A89" s="2">
        <v>78</v>
      </c>
      <c r="B89" s="3">
        <f t="shared" si="15"/>
        <v>0.99999999692941577</v>
      </c>
      <c r="C89" s="3">
        <f t="shared" si="16"/>
        <v>2.0000000027986466</v>
      </c>
      <c r="D89" s="3">
        <f t="shared" si="17"/>
        <v>-0.99999999804358986</v>
      </c>
      <c r="E89" s="1" t="str">
        <f t="shared" si="18"/>
        <v>Converged</v>
      </c>
      <c r="F89" s="8">
        <f t="shared" si="19"/>
        <v>8.9508334352790775E-8</v>
      </c>
      <c r="G89" s="8">
        <f t="shared" si="20"/>
        <v>4.0790637477292112E-8</v>
      </c>
      <c r="H89" s="8">
        <f t="shared" si="21"/>
        <v>5.7029892031597923E-8</v>
      </c>
      <c r="I89" s="23"/>
      <c r="J89" s="1" t="str">
        <f t="shared" si="22"/>
        <v>Converged</v>
      </c>
      <c r="K89" s="8">
        <f t="shared" si="23"/>
        <v>8.9508334352790775E-8</v>
      </c>
      <c r="L89" s="8">
        <f t="shared" si="24"/>
        <v>4.0790637477292112E-8</v>
      </c>
      <c r="M89" s="8">
        <f t="shared" si="25"/>
        <v>5.7029892031597923E-8</v>
      </c>
    </row>
    <row r="90" spans="1:13" x14ac:dyDescent="0.3">
      <c r="A90" s="2">
        <v>79</v>
      </c>
      <c r="B90" s="3">
        <f t="shared" si="15"/>
        <v>0.9999999976224716</v>
      </c>
      <c r="C90" s="3">
        <f t="shared" si="16"/>
        <v>2.0000000021669693</v>
      </c>
      <c r="D90" s="3">
        <f t="shared" si="17"/>
        <v>-0.99999999848516741</v>
      </c>
      <c r="E90" s="1" t="str">
        <f t="shared" si="18"/>
        <v>Converged</v>
      </c>
      <c r="F90" s="8">
        <f t="shared" si="19"/>
        <v>6.930558365915942E-8</v>
      </c>
      <c r="G90" s="8">
        <f t="shared" si="20"/>
        <v>3.158386881938123E-8</v>
      </c>
      <c r="H90" s="8">
        <f t="shared" si="21"/>
        <v>4.415775529703692E-8</v>
      </c>
      <c r="I90" s="23"/>
      <c r="J90" s="1" t="str">
        <f t="shared" si="22"/>
        <v>Converged</v>
      </c>
      <c r="K90" s="8">
        <f t="shared" si="23"/>
        <v>6.930558365915942E-8</v>
      </c>
      <c r="L90" s="8">
        <f t="shared" si="24"/>
        <v>3.158386881938123E-8</v>
      </c>
      <c r="M90" s="8">
        <f t="shared" si="25"/>
        <v>4.415775529703692E-8</v>
      </c>
    </row>
    <row r="91" spans="1:13" x14ac:dyDescent="0.3">
      <c r="A91" s="2">
        <v>80</v>
      </c>
      <c r="B91" s="3">
        <f t="shared" si="15"/>
        <v>0.99999999815909901</v>
      </c>
      <c r="C91" s="3">
        <f t="shared" si="16"/>
        <v>2.0000000016778667</v>
      </c>
      <c r="D91" s="3">
        <f t="shared" si="17"/>
        <v>-0.99999999882707746</v>
      </c>
      <c r="E91" s="1" t="str">
        <f t="shared" si="18"/>
        <v>Converged</v>
      </c>
      <c r="F91" s="8">
        <f t="shared" si="19"/>
        <v>5.3662741016347196E-8</v>
      </c>
      <c r="G91" s="8">
        <f t="shared" si="20"/>
        <v>2.4455126791967521E-8</v>
      </c>
      <c r="H91" s="8">
        <f t="shared" si="21"/>
        <v>3.4191005622432529E-8</v>
      </c>
      <c r="I91" s="23"/>
      <c r="J91" s="1" t="str">
        <f t="shared" si="22"/>
        <v>Converged</v>
      </c>
      <c r="K91" s="8">
        <f t="shared" si="23"/>
        <v>5.3662741016347196E-8</v>
      </c>
      <c r="L91" s="8">
        <f t="shared" si="24"/>
        <v>2.4455126791967521E-8</v>
      </c>
      <c r="M91" s="8">
        <f t="shared" si="25"/>
        <v>3.4191005622432529E-8</v>
      </c>
    </row>
    <row r="92" spans="1:13" x14ac:dyDescent="0.3">
      <c r="A92" s="2">
        <v>81</v>
      </c>
      <c r="B92" s="3">
        <f t="shared" si="15"/>
        <v>0.99999999857460531</v>
      </c>
      <c r="C92" s="3">
        <f t="shared" si="16"/>
        <v>2.0000000012991586</v>
      </c>
      <c r="D92" s="3">
        <f t="shared" si="17"/>
        <v>-0.99999999909181547</v>
      </c>
      <c r="E92" s="1" t="str">
        <f t="shared" si="18"/>
        <v>Converged</v>
      </c>
      <c r="F92" s="8">
        <f t="shared" si="19"/>
        <v>4.1550629662874356E-8</v>
      </c>
      <c r="G92" s="8">
        <f t="shared" si="20"/>
        <v>1.8935408784194307E-8</v>
      </c>
      <c r="H92" s="8">
        <f t="shared" si="21"/>
        <v>2.6473800953281774E-8</v>
      </c>
      <c r="I92" s="23"/>
      <c r="J92" s="1" t="str">
        <f t="shared" si="22"/>
        <v>Converged</v>
      </c>
      <c r="K92" s="8">
        <f t="shared" si="23"/>
        <v>4.1550629662874356E-8</v>
      </c>
      <c r="L92" s="8">
        <f t="shared" si="24"/>
        <v>1.8935408784194307E-8</v>
      </c>
      <c r="M92" s="8">
        <f t="shared" si="25"/>
        <v>2.6473800953281774E-8</v>
      </c>
    </row>
    <row r="93" spans="1:13" x14ac:dyDescent="0.3">
      <c r="A93" s="2">
        <v>82</v>
      </c>
      <c r="B93" s="3">
        <f t="shared" si="15"/>
        <v>0.9999999988963284</v>
      </c>
      <c r="C93" s="3">
        <f t="shared" si="16"/>
        <v>2.0000000010059282</v>
      </c>
      <c r="D93" s="3">
        <f t="shared" si="17"/>
        <v>-0.99999999929679995</v>
      </c>
      <c r="E93" s="1" t="str">
        <f t="shared" si="18"/>
        <v>Converged</v>
      </c>
      <c r="F93" s="8">
        <f t="shared" si="19"/>
        <v>3.2172309296621357E-8</v>
      </c>
      <c r="G93" s="8">
        <f t="shared" si="20"/>
        <v>1.466151643798363E-8</v>
      </c>
      <c r="H93" s="8">
        <f t="shared" si="21"/>
        <v>2.0498447398357639E-8</v>
      </c>
      <c r="I93" s="23"/>
      <c r="J93" s="1" t="str">
        <f t="shared" si="22"/>
        <v>Converged</v>
      </c>
      <c r="K93" s="8">
        <f t="shared" si="23"/>
        <v>3.2172309296621357E-8</v>
      </c>
      <c r="L93" s="8">
        <f t="shared" si="24"/>
        <v>1.466151643798363E-8</v>
      </c>
      <c r="M93" s="8">
        <f t="shared" si="25"/>
        <v>2.0498447398357639E-8</v>
      </c>
    </row>
    <row r="94" spans="1:13" x14ac:dyDescent="0.3">
      <c r="A94" s="2">
        <v>83</v>
      </c>
      <c r="B94" s="3">
        <f t="shared" si="15"/>
        <v>0.9999999991454358</v>
      </c>
      <c r="C94" s="3">
        <f t="shared" si="16"/>
        <v>2.0000000007788823</v>
      </c>
      <c r="D94" s="3">
        <f t="shared" si="17"/>
        <v>-0.99999999945551776</v>
      </c>
      <c r="E94" s="23"/>
      <c r="F94" s="23"/>
      <c r="G94" s="23"/>
      <c r="H94" s="23"/>
      <c r="I94" s="23"/>
    </row>
    <row r="95" spans="1:13" x14ac:dyDescent="0.3">
      <c r="A95" s="2">
        <v>84</v>
      </c>
      <c r="B95" s="3">
        <f t="shared" si="15"/>
        <v>0.99999999933831774</v>
      </c>
      <c r="C95" s="3">
        <f t="shared" si="16"/>
        <v>2.000000000603082</v>
      </c>
      <c r="D95" s="3">
        <f t="shared" si="17"/>
        <v>-0.9999999995784119</v>
      </c>
      <c r="E95" s="23"/>
      <c r="F95" s="23"/>
      <c r="G95" s="23"/>
      <c r="H95" s="23"/>
      <c r="I95" s="23"/>
    </row>
    <row r="96" spans="1:13" x14ac:dyDescent="0.3">
      <c r="A96" s="2">
        <v>85</v>
      </c>
      <c r="B96" s="3">
        <f t="shared" si="15"/>
        <v>0.99999999948766494</v>
      </c>
      <c r="C96" s="3">
        <f t="shared" si="16"/>
        <v>2.0000000004669616</v>
      </c>
      <c r="D96" s="3">
        <f t="shared" si="17"/>
        <v>-0.99999999967356779</v>
      </c>
      <c r="E96" s="23"/>
      <c r="F96" s="23"/>
      <c r="G96" s="23"/>
      <c r="H96" s="23"/>
      <c r="I96" s="23"/>
    </row>
    <row r="97" spans="1:9" x14ac:dyDescent="0.3">
      <c r="A97" s="2">
        <v>86</v>
      </c>
      <c r="B97" s="3">
        <f t="shared" si="15"/>
        <v>0.9999999996033031</v>
      </c>
      <c r="C97" s="3">
        <f t="shared" si="16"/>
        <v>2.0000000003615646</v>
      </c>
      <c r="D97" s="3">
        <f t="shared" si="17"/>
        <v>-0.99999999974724618</v>
      </c>
      <c r="E97" s="23"/>
      <c r="F97" s="23"/>
      <c r="G97" s="23"/>
      <c r="H97" s="23"/>
      <c r="I97" s="23"/>
    </row>
    <row r="98" spans="1:9" x14ac:dyDescent="0.3">
      <c r="A98" s="2">
        <v>87</v>
      </c>
      <c r="B98" s="3">
        <f t="shared" si="15"/>
        <v>0.99999999969284081</v>
      </c>
      <c r="C98" s="3">
        <f t="shared" si="16"/>
        <v>2.0000000002799565</v>
      </c>
      <c r="D98" s="3">
        <f t="shared" si="17"/>
        <v>-0.99999999980429488</v>
      </c>
      <c r="E98" s="23"/>
      <c r="F98" s="23"/>
      <c r="G98" s="23"/>
      <c r="H98" s="23"/>
      <c r="I98" s="23"/>
    </row>
    <row r="99" spans="1:9" x14ac:dyDescent="0.3">
      <c r="A99" s="2">
        <v>88</v>
      </c>
      <c r="B99" s="3">
        <f t="shared" si="15"/>
        <v>0.99999999976216913</v>
      </c>
      <c r="C99" s="3">
        <f t="shared" si="16"/>
        <v>2.0000000002167679</v>
      </c>
      <c r="D99" s="3">
        <f t="shared" si="17"/>
        <v>-0.99999999984846699</v>
      </c>
      <c r="E99" s="23"/>
      <c r="F99" s="23"/>
      <c r="G99" s="23"/>
      <c r="H99" s="23"/>
      <c r="I99" s="23"/>
    </row>
    <row r="100" spans="1:9" x14ac:dyDescent="0.3">
      <c r="A100" s="2">
        <v>89</v>
      </c>
      <c r="B100" s="3">
        <f t="shared" si="15"/>
        <v>0.99999999981584953</v>
      </c>
      <c r="C100" s="3">
        <f t="shared" si="16"/>
        <v>2.0000000001678417</v>
      </c>
      <c r="D100" s="3">
        <f t="shared" si="17"/>
        <v>-0.99999999988266919</v>
      </c>
      <c r="E100" s="23"/>
      <c r="F100" s="23"/>
      <c r="G100" s="23"/>
      <c r="H100" s="23"/>
      <c r="I100" s="23"/>
    </row>
    <row r="101" spans="1:9" x14ac:dyDescent="0.3">
      <c r="A101" s="2">
        <v>90</v>
      </c>
      <c r="B101" s="3">
        <f t="shared" si="15"/>
        <v>0.99999999985741372</v>
      </c>
      <c r="C101" s="3">
        <f t="shared" si="16"/>
        <v>2.0000000001299587</v>
      </c>
      <c r="D101" s="3">
        <f t="shared" si="17"/>
        <v>-0.99999999990915156</v>
      </c>
      <c r="E101" s="23"/>
      <c r="F101" s="23"/>
      <c r="G101" s="23"/>
      <c r="H101" s="23"/>
      <c r="I101" s="23"/>
    </row>
    <row r="102" spans="1:9" x14ac:dyDescent="0.3">
      <c r="A102" s="2">
        <v>91</v>
      </c>
      <c r="B102" s="3">
        <f t="shared" si="15"/>
        <v>0.99999999988959642</v>
      </c>
      <c r="C102" s="3">
        <f t="shared" si="16"/>
        <v>2.0000000001006257</v>
      </c>
      <c r="D102" s="3">
        <f t="shared" si="17"/>
        <v>-0.99999999992965694</v>
      </c>
      <c r="E102" s="23"/>
      <c r="F102" s="23"/>
      <c r="G102" s="23"/>
      <c r="H102" s="23"/>
      <c r="I102" s="23"/>
    </row>
    <row r="103" spans="1:9" x14ac:dyDescent="0.3">
      <c r="A103" s="2">
        <v>92</v>
      </c>
      <c r="B103" s="3">
        <f t="shared" si="15"/>
        <v>0.9999999999145156</v>
      </c>
      <c r="C103" s="3">
        <f t="shared" si="16"/>
        <v>2.0000000000779137</v>
      </c>
      <c r="D103" s="3">
        <f t="shared" si="17"/>
        <v>-0.9999999999455339</v>
      </c>
      <c r="E103" s="23"/>
      <c r="F103" s="23"/>
      <c r="G103" s="23"/>
      <c r="H103" s="23"/>
      <c r="I103" s="23"/>
    </row>
    <row r="104" spans="1:9" x14ac:dyDescent="0.3">
      <c r="A104" s="2">
        <v>93</v>
      </c>
      <c r="B104" s="3">
        <f t="shared" si="15"/>
        <v>0.99999999993381006</v>
      </c>
      <c r="C104" s="3">
        <f t="shared" si="16"/>
        <v>2.0000000000603277</v>
      </c>
      <c r="D104" s="3">
        <f t="shared" si="17"/>
        <v>-0.99999999995782751</v>
      </c>
      <c r="E104" s="23"/>
      <c r="F104" s="23"/>
      <c r="G104" s="23"/>
      <c r="H104" s="23"/>
      <c r="I104" s="23"/>
    </row>
    <row r="105" spans="1:9" x14ac:dyDescent="0.3">
      <c r="A105" s="2">
        <v>94</v>
      </c>
      <c r="B105" s="3">
        <f t="shared" si="15"/>
        <v>0.99999999994874988</v>
      </c>
      <c r="C105" s="3">
        <f t="shared" si="16"/>
        <v>2.0000000000467111</v>
      </c>
      <c r="D105" s="3">
        <f t="shared" si="17"/>
        <v>-0.99999999996734634</v>
      </c>
      <c r="E105" s="23"/>
      <c r="F105" s="23"/>
      <c r="G105" s="23"/>
      <c r="H105" s="23"/>
      <c r="I105" s="23"/>
    </row>
    <row r="106" spans="1:9" x14ac:dyDescent="0.3">
      <c r="A106" s="2">
        <v>95</v>
      </c>
      <c r="B106" s="3">
        <f t="shared" si="15"/>
        <v>0.99999999996031763</v>
      </c>
      <c r="C106" s="3">
        <f t="shared" si="16"/>
        <v>2.000000000036168</v>
      </c>
      <c r="D106" s="3">
        <f t="shared" si="17"/>
        <v>-0.99999999997471667</v>
      </c>
      <c r="E106" s="23"/>
      <c r="F106" s="23"/>
      <c r="G106" s="23"/>
      <c r="H106" s="23"/>
      <c r="I106" s="23"/>
    </row>
    <row r="107" spans="1:9" x14ac:dyDescent="0.3">
      <c r="A107" s="2">
        <v>96</v>
      </c>
      <c r="B107" s="3">
        <f t="shared" si="15"/>
        <v>0.99999999996927436</v>
      </c>
      <c r="C107" s="3">
        <f t="shared" si="16"/>
        <v>2.0000000000280043</v>
      </c>
      <c r="D107" s="3">
        <f t="shared" si="17"/>
        <v>-0.99999999998042333</v>
      </c>
      <c r="E107" s="23"/>
      <c r="F107" s="23"/>
      <c r="G107" s="23"/>
      <c r="H107" s="23"/>
      <c r="I107" s="23"/>
    </row>
    <row r="108" spans="1:9" x14ac:dyDescent="0.3">
      <c r="A108" s="2">
        <v>97</v>
      </c>
      <c r="B108" s="3">
        <f t="shared" si="15"/>
        <v>0.99999999997620947</v>
      </c>
      <c r="C108" s="3">
        <f t="shared" si="16"/>
        <v>2.0000000000216835</v>
      </c>
      <c r="D108" s="3">
        <f t="shared" si="17"/>
        <v>-0.9999999999848419</v>
      </c>
      <c r="E108" s="23"/>
      <c r="F108" s="23"/>
      <c r="G108" s="23"/>
      <c r="H108" s="23"/>
      <c r="I108" s="23"/>
    </row>
    <row r="109" spans="1:9" x14ac:dyDescent="0.3">
      <c r="A109" s="2">
        <v>98</v>
      </c>
      <c r="B109" s="3">
        <f t="shared" si="15"/>
        <v>0.99999999998157918</v>
      </c>
      <c r="C109" s="3">
        <f t="shared" si="16"/>
        <v>2.0000000000167892</v>
      </c>
      <c r="D109" s="3">
        <f t="shared" si="17"/>
        <v>-0.99999999998826328</v>
      </c>
      <c r="E109" s="23"/>
      <c r="F109" s="23"/>
      <c r="G109" s="23"/>
      <c r="H109" s="23"/>
      <c r="I109" s="23"/>
    </row>
    <row r="110" spans="1:9" x14ac:dyDescent="0.3">
      <c r="A110" s="2">
        <v>99</v>
      </c>
      <c r="B110" s="3">
        <f t="shared" si="15"/>
        <v>0.99999999998573696</v>
      </c>
      <c r="C110" s="3">
        <f t="shared" si="16"/>
        <v>2.0000000000129998</v>
      </c>
      <c r="D110" s="3">
        <f t="shared" si="17"/>
        <v>-0.99999999999091227</v>
      </c>
      <c r="E110" s="23"/>
      <c r="F110" s="23"/>
      <c r="G110" s="23"/>
      <c r="H110" s="23"/>
      <c r="I110" s="23"/>
    </row>
    <row r="111" spans="1:9" x14ac:dyDescent="0.3">
      <c r="A111" s="2">
        <v>100</v>
      </c>
      <c r="B111" s="3">
        <f t="shared" si="15"/>
        <v>0.99999999998895617</v>
      </c>
      <c r="C111" s="3">
        <f t="shared" si="16"/>
        <v>2.0000000000100657</v>
      </c>
      <c r="D111" s="3">
        <f t="shared" si="17"/>
        <v>-0.99999999999296352</v>
      </c>
      <c r="E111" s="23"/>
      <c r="F111" s="23"/>
      <c r="G111" s="23"/>
      <c r="H111" s="23"/>
      <c r="I111" s="23"/>
    </row>
    <row r="112" spans="1:9" x14ac:dyDescent="0.3">
      <c r="A112" s="2">
        <v>101</v>
      </c>
      <c r="B112" s="3">
        <f t="shared" si="15"/>
        <v>0.99999999999144884</v>
      </c>
      <c r="C112" s="3">
        <f t="shared" si="16"/>
        <v>2.0000000000077938</v>
      </c>
      <c r="D112" s="3">
        <f t="shared" si="17"/>
        <v>-0.99999999999455158</v>
      </c>
      <c r="E112" s="23"/>
      <c r="F112" s="23"/>
      <c r="G112" s="23"/>
      <c r="H112" s="23"/>
      <c r="I112" s="23"/>
    </row>
    <row r="113" spans="1:9" x14ac:dyDescent="0.3">
      <c r="A113" s="2">
        <v>102</v>
      </c>
      <c r="B113" s="3">
        <f t="shared" si="15"/>
        <v>0.99999999999337885</v>
      </c>
      <c r="C113" s="3">
        <f t="shared" si="16"/>
        <v>2.0000000000060347</v>
      </c>
      <c r="D113" s="3">
        <f t="shared" si="17"/>
        <v>-0.99999999999578126</v>
      </c>
      <c r="E113" s="23"/>
      <c r="F113" s="23"/>
      <c r="G113" s="23"/>
      <c r="H113" s="23"/>
      <c r="I113" s="23"/>
    </row>
    <row r="114" spans="1:9" x14ac:dyDescent="0.3">
      <c r="A114" s="2">
        <v>103</v>
      </c>
      <c r="B114" s="3">
        <f t="shared" si="15"/>
        <v>0.99999999999487321</v>
      </c>
      <c r="C114" s="3">
        <f t="shared" si="16"/>
        <v>2.0000000000046727</v>
      </c>
      <c r="D114" s="3">
        <f t="shared" si="17"/>
        <v>-0.9999999999967335</v>
      </c>
      <c r="E114" s="23"/>
      <c r="F114" s="23"/>
      <c r="G114" s="23"/>
      <c r="H114" s="23"/>
      <c r="I114" s="23"/>
    </row>
    <row r="115" spans="1:9" x14ac:dyDescent="0.3">
      <c r="A115" s="2">
        <v>104</v>
      </c>
      <c r="B115" s="3">
        <f t="shared" si="15"/>
        <v>0.9999999999960304</v>
      </c>
      <c r="C115" s="3">
        <f t="shared" si="16"/>
        <v>2.000000000003618</v>
      </c>
      <c r="D115" s="3">
        <f t="shared" si="17"/>
        <v>-0.99999999999747091</v>
      </c>
      <c r="E115" s="23"/>
      <c r="F115" s="23"/>
      <c r="G115" s="23"/>
      <c r="H115" s="23"/>
      <c r="I115" s="23"/>
    </row>
    <row r="116" spans="1:9" x14ac:dyDescent="0.3">
      <c r="A116" s="2">
        <v>105</v>
      </c>
      <c r="B116" s="3">
        <f t="shared" si="15"/>
        <v>0.99999999999692646</v>
      </c>
      <c r="C116" s="3">
        <f t="shared" si="16"/>
        <v>2.0000000000028013</v>
      </c>
      <c r="D116" s="3">
        <f t="shared" si="17"/>
        <v>-0.99999999999804179</v>
      </c>
      <c r="E116" s="23"/>
      <c r="F116" s="23"/>
      <c r="G116" s="23"/>
      <c r="H116" s="23"/>
      <c r="I116" s="23"/>
    </row>
    <row r="117" spans="1:9" x14ac:dyDescent="0.3">
      <c r="A117" s="2">
        <v>106</v>
      </c>
      <c r="B117" s="3">
        <f t="shared" si="15"/>
        <v>0.99999999999762024</v>
      </c>
      <c r="C117" s="3">
        <f t="shared" si="16"/>
        <v>2.0000000000021689</v>
      </c>
      <c r="D117" s="3">
        <f t="shared" si="17"/>
        <v>-0.99999999999848388</v>
      </c>
      <c r="E117" s="23"/>
      <c r="F117" s="23"/>
      <c r="G117" s="23"/>
      <c r="H117" s="23"/>
      <c r="I117" s="23"/>
    </row>
    <row r="118" spans="1:9" x14ac:dyDescent="0.3">
      <c r="A118" s="2">
        <v>107</v>
      </c>
      <c r="B118" s="3">
        <f t="shared" si="15"/>
        <v>0.99999999999815747</v>
      </c>
      <c r="C118" s="3">
        <f t="shared" si="16"/>
        <v>2.0000000000016791</v>
      </c>
      <c r="D118" s="3">
        <f t="shared" si="17"/>
        <v>-0.99999999999882627</v>
      </c>
      <c r="E118" s="23"/>
      <c r="F118" s="23"/>
      <c r="G118" s="23"/>
      <c r="H118" s="23"/>
      <c r="I118" s="23"/>
    </row>
    <row r="119" spans="1:9" x14ac:dyDescent="0.3">
      <c r="A119" s="2">
        <v>108</v>
      </c>
      <c r="B119" s="3">
        <f t="shared" si="15"/>
        <v>0.99999999999857359</v>
      </c>
      <c r="C119" s="3">
        <f t="shared" si="16"/>
        <v>2.0000000000013003</v>
      </c>
      <c r="D119" s="3">
        <f t="shared" si="17"/>
        <v>-0.99999999999909106</v>
      </c>
      <c r="E119" s="23"/>
      <c r="F119" s="23"/>
      <c r="G119" s="23"/>
      <c r="H119" s="23"/>
      <c r="I119" s="23"/>
    </row>
    <row r="120" spans="1:9" x14ac:dyDescent="0.3">
      <c r="A120" s="2">
        <v>109</v>
      </c>
      <c r="B120" s="3">
        <f t="shared" si="15"/>
        <v>0.99999999999889533</v>
      </c>
      <c r="C120" s="3">
        <f t="shared" si="16"/>
        <v>2.0000000000010068</v>
      </c>
      <c r="D120" s="3">
        <f t="shared" si="17"/>
        <v>-0.99999999999929612</v>
      </c>
      <c r="E120" s="23"/>
      <c r="F120" s="23"/>
      <c r="G120" s="23"/>
      <c r="H120" s="23"/>
      <c r="I120" s="23"/>
    </row>
    <row r="121" spans="1:9" x14ac:dyDescent="0.3">
      <c r="A121" s="2">
        <v>110</v>
      </c>
      <c r="B121" s="3">
        <f t="shared" si="15"/>
        <v>0.99999999999914468</v>
      </c>
      <c r="C121" s="3">
        <f t="shared" si="16"/>
        <v>2.0000000000007798</v>
      </c>
      <c r="D121" s="3">
        <f t="shared" si="17"/>
        <v>-0.99999999999945488</v>
      </c>
      <c r="E121" s="23"/>
      <c r="F121" s="23"/>
      <c r="G121" s="23"/>
      <c r="H121" s="23"/>
      <c r="I121" s="23"/>
    </row>
    <row r="122" spans="1:9" x14ac:dyDescent="0.3">
      <c r="A122" s="2">
        <v>111</v>
      </c>
      <c r="B122" s="3">
        <f t="shared" si="15"/>
        <v>0.99999999999933753</v>
      </c>
      <c r="C122" s="3">
        <f t="shared" si="16"/>
        <v>2.000000000000604</v>
      </c>
      <c r="D122" s="3">
        <f t="shared" si="17"/>
        <v>-0.99999999999957778</v>
      </c>
      <c r="E122" s="23"/>
      <c r="F122" s="23"/>
      <c r="G122" s="23"/>
      <c r="H122" s="23"/>
      <c r="I122" s="23"/>
    </row>
    <row r="123" spans="1:9" x14ac:dyDescent="0.3">
      <c r="A123" s="2">
        <v>112</v>
      </c>
      <c r="B123" s="3">
        <f t="shared" si="15"/>
        <v>0.99999999999948685</v>
      </c>
      <c r="C123" s="3">
        <f t="shared" si="16"/>
        <v>2.0000000000004676</v>
      </c>
      <c r="D123" s="3">
        <f t="shared" si="17"/>
        <v>-0.99999999999967293</v>
      </c>
      <c r="E123" s="23"/>
      <c r="F123" s="23"/>
      <c r="G123" s="23"/>
      <c r="H123" s="23"/>
      <c r="I123" s="23"/>
    </row>
    <row r="124" spans="1:9" x14ac:dyDescent="0.3">
      <c r="A124" s="2">
        <v>113</v>
      </c>
      <c r="B124" s="3">
        <f t="shared" si="15"/>
        <v>0.99999999999960265</v>
      </c>
      <c r="C124" s="3">
        <f t="shared" si="16"/>
        <v>2.0000000000003619</v>
      </c>
      <c r="D124" s="3">
        <f t="shared" si="17"/>
        <v>-0.99999999999974698</v>
      </c>
      <c r="E124" s="23"/>
      <c r="F124" s="23"/>
      <c r="G124" s="23"/>
      <c r="H124" s="23"/>
      <c r="I124" s="23"/>
    </row>
    <row r="125" spans="1:9" x14ac:dyDescent="0.3">
      <c r="A125" s="2">
        <v>114</v>
      </c>
      <c r="B125" s="3">
        <f t="shared" si="15"/>
        <v>0.99999999999969247</v>
      </c>
      <c r="C125" s="3">
        <f t="shared" si="16"/>
        <v>2.0000000000002802</v>
      </c>
      <c r="D125" s="3">
        <f t="shared" si="17"/>
        <v>-0.99999999999980416</v>
      </c>
      <c r="E125" s="23"/>
      <c r="F125" s="23"/>
      <c r="G125" s="23"/>
      <c r="H125" s="23"/>
      <c r="I125" s="23"/>
    </row>
    <row r="126" spans="1:9" x14ac:dyDescent="0.3">
      <c r="A126" s="2">
        <v>115</v>
      </c>
      <c r="B126" s="3">
        <f t="shared" si="15"/>
        <v>0.99999999999976197</v>
      </c>
      <c r="C126" s="3">
        <f t="shared" si="16"/>
        <v>2.0000000000002167</v>
      </c>
      <c r="D126" s="3">
        <f t="shared" si="17"/>
        <v>-0.99999999999984834</v>
      </c>
      <c r="E126" s="23"/>
      <c r="F126" s="23"/>
      <c r="G126" s="23"/>
      <c r="H126" s="23"/>
      <c r="I126" s="23"/>
    </row>
    <row r="127" spans="1:9" x14ac:dyDescent="0.3">
      <c r="A127" s="2">
        <v>116</v>
      </c>
      <c r="B127" s="3">
        <f t="shared" si="15"/>
        <v>0.99999999999981581</v>
      </c>
      <c r="C127" s="3">
        <f t="shared" si="16"/>
        <v>2.0000000000001679</v>
      </c>
      <c r="D127" s="3">
        <f t="shared" si="17"/>
        <v>-0.99999999999988276</v>
      </c>
      <c r="E127" s="23"/>
      <c r="F127" s="23"/>
      <c r="G127" s="23"/>
      <c r="H127" s="23"/>
      <c r="I127" s="23"/>
    </row>
    <row r="128" spans="1:9" x14ac:dyDescent="0.3">
      <c r="A128" s="2">
        <v>117</v>
      </c>
      <c r="B128" s="3">
        <f t="shared" si="15"/>
        <v>0.99999999999985745</v>
      </c>
      <c r="C128" s="3">
        <f t="shared" si="16"/>
        <v>2.0000000000001297</v>
      </c>
      <c r="D128" s="3">
        <f t="shared" si="17"/>
        <v>-0.99999999999990941</v>
      </c>
      <c r="E128" s="23"/>
      <c r="F128" s="23"/>
      <c r="G128" s="23"/>
      <c r="H128" s="23"/>
      <c r="I128" s="23"/>
    </row>
    <row r="129" spans="1:9" x14ac:dyDescent="0.3">
      <c r="A129" s="2">
        <v>118</v>
      </c>
      <c r="B129" s="3">
        <f t="shared" si="15"/>
        <v>0.99999999999988987</v>
      </c>
      <c r="C129" s="3">
        <f t="shared" si="16"/>
        <v>2.0000000000001004</v>
      </c>
      <c r="D129" s="3">
        <f t="shared" si="17"/>
        <v>-0.99999999999992983</v>
      </c>
      <c r="E129" s="23"/>
      <c r="F129" s="23"/>
      <c r="G129" s="23"/>
      <c r="H129" s="23"/>
      <c r="I129" s="23"/>
    </row>
    <row r="130" spans="1:9" x14ac:dyDescent="0.3">
      <c r="A130" s="2">
        <v>119</v>
      </c>
      <c r="B130" s="3">
        <f t="shared" si="15"/>
        <v>0.99999999999991473</v>
      </c>
      <c r="C130" s="3">
        <f t="shared" si="16"/>
        <v>2.0000000000000777</v>
      </c>
      <c r="D130" s="3">
        <f t="shared" si="17"/>
        <v>-0.9999999999999456</v>
      </c>
      <c r="E130" s="23"/>
      <c r="F130" s="23"/>
      <c r="G130" s="23"/>
      <c r="H130" s="23"/>
      <c r="I130" s="23"/>
    </row>
    <row r="131" spans="1:9" x14ac:dyDescent="0.3">
      <c r="A131" s="2">
        <v>120</v>
      </c>
      <c r="B131" s="3">
        <f t="shared" si="15"/>
        <v>0.99999999999993394</v>
      </c>
      <c r="C131" s="3">
        <f t="shared" si="16"/>
        <v>2.00000000000006</v>
      </c>
      <c r="D131" s="3">
        <f t="shared" si="17"/>
        <v>-0.99999999999995803</v>
      </c>
      <c r="E131" s="23"/>
      <c r="F131" s="23"/>
      <c r="G131" s="23"/>
      <c r="H131" s="23"/>
      <c r="I131" s="23"/>
    </row>
    <row r="132" spans="1:9" x14ac:dyDescent="0.3">
      <c r="A132" s="2">
        <v>121</v>
      </c>
      <c r="B132" s="3">
        <f t="shared" si="15"/>
        <v>0.99999999999994904</v>
      </c>
      <c r="C132" s="3">
        <f t="shared" si="16"/>
        <v>2.0000000000000462</v>
      </c>
      <c r="D132" s="3">
        <f t="shared" si="17"/>
        <v>-0.99999999999996769</v>
      </c>
      <c r="E132" s="23"/>
      <c r="F132" s="23"/>
      <c r="G132" s="23"/>
      <c r="H132" s="23"/>
      <c r="I132" s="23"/>
    </row>
    <row r="133" spans="1:9" x14ac:dyDescent="0.3">
      <c r="A133" s="2">
        <v>122</v>
      </c>
      <c r="B133" s="3">
        <f t="shared" si="15"/>
        <v>0.9999999999999607</v>
      </c>
      <c r="C133" s="3">
        <f t="shared" si="16"/>
        <v>2.0000000000000355</v>
      </c>
      <c r="D133" s="3">
        <f t="shared" si="17"/>
        <v>-0.99999999999997513</v>
      </c>
      <c r="E133" s="23"/>
      <c r="F133" s="23"/>
      <c r="G133" s="23"/>
      <c r="H133" s="23"/>
      <c r="I133" s="23"/>
    </row>
    <row r="134" spans="1:9" x14ac:dyDescent="0.3">
      <c r="A134" s="2">
        <v>123</v>
      </c>
      <c r="B134" s="3">
        <f t="shared" si="15"/>
        <v>0.9999999999999698</v>
      </c>
      <c r="C134" s="3">
        <f t="shared" si="16"/>
        <v>2.0000000000000275</v>
      </c>
      <c r="D134" s="3">
        <f t="shared" si="17"/>
        <v>-0.99999999999998068</v>
      </c>
      <c r="E134" s="23"/>
      <c r="F134" s="23"/>
      <c r="G134" s="23"/>
      <c r="H134" s="23"/>
      <c r="I134" s="23"/>
    </row>
    <row r="135" spans="1:9" x14ac:dyDescent="0.3">
      <c r="A135" s="2">
        <v>124</v>
      </c>
      <c r="B135" s="3">
        <f t="shared" si="15"/>
        <v>0.99999999999997657</v>
      </c>
      <c r="C135" s="3">
        <f t="shared" si="16"/>
        <v>2.0000000000000213</v>
      </c>
      <c r="D135" s="3">
        <f t="shared" si="17"/>
        <v>-0.99999999999998512</v>
      </c>
      <c r="E135" s="23"/>
      <c r="F135" s="23"/>
      <c r="G135" s="23"/>
      <c r="H135" s="23"/>
      <c r="I135" s="23"/>
    </row>
    <row r="136" spans="1:9" x14ac:dyDescent="0.3">
      <c r="A136" s="2">
        <v>125</v>
      </c>
      <c r="B136" s="3">
        <f t="shared" si="15"/>
        <v>0.9999999999999819</v>
      </c>
      <c r="C136" s="3">
        <f t="shared" si="16"/>
        <v>2.0000000000000164</v>
      </c>
      <c r="D136" s="3">
        <f t="shared" si="17"/>
        <v>-0.99999999999998856</v>
      </c>
      <c r="E136" s="23"/>
      <c r="F136" s="23"/>
      <c r="G136" s="23"/>
      <c r="H136" s="23"/>
      <c r="I136" s="23"/>
    </row>
    <row r="137" spans="1:9" x14ac:dyDescent="0.3">
      <c r="A137" s="2">
        <v>126</v>
      </c>
      <c r="B137" s="3">
        <f t="shared" si="15"/>
        <v>0.99999999999998601</v>
      </c>
      <c r="C137" s="3">
        <f t="shared" si="16"/>
        <v>2.0000000000000129</v>
      </c>
      <c r="D137" s="3">
        <f t="shared" si="17"/>
        <v>-0.9999999999999909</v>
      </c>
      <c r="E137" s="23"/>
      <c r="F137" s="23"/>
      <c r="G137" s="23"/>
      <c r="H137" s="23"/>
      <c r="I137" s="23"/>
    </row>
    <row r="138" spans="1:9" x14ac:dyDescent="0.3">
      <c r="A138" s="2">
        <v>127</v>
      </c>
      <c r="B138" s="3">
        <f t="shared" si="15"/>
        <v>0.99999999999998901</v>
      </c>
      <c r="C138" s="3">
        <f t="shared" si="16"/>
        <v>2.0000000000000098</v>
      </c>
      <c r="D138" s="3">
        <f t="shared" si="17"/>
        <v>-0.99999999999999312</v>
      </c>
      <c r="E138" s="23"/>
      <c r="F138" s="23"/>
      <c r="G138" s="23"/>
      <c r="H138" s="23"/>
      <c r="I138" s="23"/>
    </row>
    <row r="139" spans="1:9" x14ac:dyDescent="0.3">
      <c r="A139" s="2">
        <v>128</v>
      </c>
      <c r="B139" s="3">
        <f t="shared" si="15"/>
        <v>0.99999999999999167</v>
      </c>
      <c r="C139" s="3">
        <f t="shared" si="16"/>
        <v>2.0000000000000075</v>
      </c>
      <c r="D139" s="3">
        <f t="shared" si="17"/>
        <v>-0.99999999999999478</v>
      </c>
      <c r="E139" s="23"/>
      <c r="F139" s="23"/>
      <c r="G139" s="23"/>
      <c r="H139" s="23"/>
      <c r="I139" s="23"/>
    </row>
    <row r="140" spans="1:9" x14ac:dyDescent="0.3">
      <c r="A140" s="2">
        <v>129</v>
      </c>
      <c r="B140" s="3">
        <f t="shared" si="15"/>
        <v>0.99999999999999356</v>
      </c>
      <c r="C140" s="3">
        <f t="shared" si="16"/>
        <v>2.0000000000000058</v>
      </c>
      <c r="D140" s="3">
        <f t="shared" si="17"/>
        <v>-0.999999999999996</v>
      </c>
      <c r="E140" s="23"/>
      <c r="F140" s="23"/>
      <c r="G140" s="23"/>
      <c r="H140" s="23"/>
      <c r="I140" s="23"/>
    </row>
    <row r="141" spans="1:9" x14ac:dyDescent="0.3">
      <c r="A141" s="2">
        <v>130</v>
      </c>
      <c r="B141" s="3">
        <f t="shared" ref="B141:B146" si="26">1/2*(3-C140-D140)</f>
        <v>0.99999999999999512</v>
      </c>
      <c r="C141" s="3">
        <f t="shared" ref="C141:C146" si="27">1/2*(6-B141+D140)</f>
        <v>2.0000000000000044</v>
      </c>
      <c r="D141" s="3">
        <f t="shared" ref="D141:D146" si="28">1/3*(-4-B141+C141)</f>
        <v>-0.99999999999999667</v>
      </c>
      <c r="E141" s="23"/>
      <c r="F141" s="23"/>
      <c r="G141" s="23"/>
      <c r="H141" s="23"/>
      <c r="I141" s="23"/>
    </row>
    <row r="142" spans="1:9" x14ac:dyDescent="0.3">
      <c r="A142" s="2">
        <v>131</v>
      </c>
      <c r="B142" s="3">
        <f t="shared" si="26"/>
        <v>0.99999999999999611</v>
      </c>
      <c r="C142" s="3">
        <f t="shared" si="27"/>
        <v>2.0000000000000036</v>
      </c>
      <c r="D142" s="3">
        <f t="shared" si="28"/>
        <v>-0.99999999999999756</v>
      </c>
      <c r="E142" s="23"/>
      <c r="F142" s="23"/>
      <c r="G142" s="23"/>
      <c r="H142" s="23"/>
      <c r="I142" s="23"/>
    </row>
    <row r="143" spans="1:9" x14ac:dyDescent="0.3">
      <c r="A143" s="2">
        <v>132</v>
      </c>
      <c r="B143" s="3">
        <f t="shared" si="26"/>
        <v>0.999999999999997</v>
      </c>
      <c r="C143" s="3">
        <f t="shared" si="27"/>
        <v>2.0000000000000027</v>
      </c>
      <c r="D143" s="3">
        <f t="shared" si="28"/>
        <v>-0.99999999999999822</v>
      </c>
      <c r="E143" s="23"/>
      <c r="F143" s="23"/>
      <c r="G143" s="23"/>
      <c r="H143" s="23"/>
      <c r="I143" s="23"/>
    </row>
    <row r="144" spans="1:9" x14ac:dyDescent="0.3">
      <c r="A144" s="2">
        <v>133</v>
      </c>
      <c r="B144" s="3">
        <f t="shared" si="26"/>
        <v>0.99999999999999778</v>
      </c>
      <c r="C144" s="3">
        <f t="shared" si="27"/>
        <v>2.0000000000000018</v>
      </c>
      <c r="D144" s="3">
        <f t="shared" si="28"/>
        <v>-0.99999999999999878</v>
      </c>
      <c r="E144" s="23"/>
      <c r="F144" s="23"/>
      <c r="G144" s="23"/>
      <c r="H144" s="23"/>
      <c r="I144" s="23"/>
    </row>
    <row r="145" spans="1:9" x14ac:dyDescent="0.3">
      <c r="A145" s="2">
        <v>134</v>
      </c>
      <c r="B145" s="3">
        <f t="shared" si="26"/>
        <v>0.99999999999999845</v>
      </c>
      <c r="C145" s="3">
        <f t="shared" si="27"/>
        <v>2.0000000000000013</v>
      </c>
      <c r="D145" s="3">
        <f t="shared" si="28"/>
        <v>-0.99999999999999889</v>
      </c>
      <c r="E145" s="23"/>
      <c r="F145" s="23"/>
      <c r="G145" s="23"/>
      <c r="H145" s="23"/>
      <c r="I145" s="23"/>
    </row>
    <row r="146" spans="1:9" x14ac:dyDescent="0.3">
      <c r="A146" s="2">
        <v>135</v>
      </c>
      <c r="B146" s="3">
        <f t="shared" si="26"/>
        <v>0.99999999999999878</v>
      </c>
      <c r="C146" s="3">
        <f t="shared" si="27"/>
        <v>2.0000000000000009</v>
      </c>
      <c r="D146" s="3">
        <f t="shared" si="28"/>
        <v>-0.99999999999999933</v>
      </c>
      <c r="E146" s="23"/>
      <c r="F146" s="23"/>
      <c r="G146" s="23"/>
      <c r="H146" s="23"/>
      <c r="I146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L147"/>
  <sheetViews>
    <sheetView workbookViewId="0">
      <selection activeCell="E13" sqref="E13"/>
    </sheetView>
  </sheetViews>
  <sheetFormatPr defaultRowHeight="14.4" x14ac:dyDescent="0.3"/>
  <cols>
    <col min="1" max="4" width="15.6640625" customWidth="1"/>
    <col min="5" max="5" width="11.21875" customWidth="1"/>
    <col min="6" max="8" width="9.5546875" bestFit="1" customWidth="1"/>
  </cols>
  <sheetData>
    <row r="9" spans="1:12" x14ac:dyDescent="0.3">
      <c r="F9" t="s">
        <v>7</v>
      </c>
      <c r="H9" s="8">
        <v>9.9999999999999995E-7</v>
      </c>
    </row>
    <row r="10" spans="1:12" ht="15" thickBot="1" x14ac:dyDescent="0.35"/>
    <row r="11" spans="1:12" ht="15" thickBot="1" x14ac:dyDescent="0.35">
      <c r="A11" s="5" t="s">
        <v>0</v>
      </c>
      <c r="B11" s="6" t="s">
        <v>1</v>
      </c>
      <c r="C11" s="6" t="s">
        <v>2</v>
      </c>
      <c r="D11" s="7" t="s">
        <v>3</v>
      </c>
      <c r="F11" s="1" t="s">
        <v>4</v>
      </c>
      <c r="G11" s="1" t="s">
        <v>5</v>
      </c>
      <c r="H11" s="1" t="s">
        <v>6</v>
      </c>
    </row>
    <row r="12" spans="1:12" x14ac:dyDescent="0.3">
      <c r="A12" s="4">
        <v>0</v>
      </c>
      <c r="B12" s="9">
        <v>0</v>
      </c>
      <c r="C12" s="9">
        <v>0</v>
      </c>
      <c r="D12" s="9">
        <v>0</v>
      </c>
    </row>
    <row r="13" spans="1:12" x14ac:dyDescent="0.3">
      <c r="A13" s="2">
        <v>1</v>
      </c>
      <c r="B13" s="3">
        <f>1/8*(12-3*C12-1*D12)</f>
        <v>1.5</v>
      </c>
      <c r="C13" s="3">
        <f>1/4*(5-2*B13+1*D12)</f>
        <v>0.5</v>
      </c>
      <c r="D13" s="3">
        <f>1/7*(1+6*B13-0*C13)</f>
        <v>1.4285714285714284</v>
      </c>
      <c r="E13" s="1" t="str">
        <f>IF(SUM(F13:H13)&lt;$H$9,"Converged","-")</f>
        <v>-</v>
      </c>
      <c r="F13" s="8">
        <f>ABS((B13-B12)/B13)*100</f>
        <v>100</v>
      </c>
      <c r="G13" s="8">
        <f t="shared" ref="G13:H28" si="0">ABS((C13-C12)/C13)*100</f>
        <v>100</v>
      </c>
      <c r="H13" s="8">
        <f t="shared" si="0"/>
        <v>100</v>
      </c>
      <c r="J13">
        <f>IF(F13&lt;$H$9,1,0)</f>
        <v>0</v>
      </c>
      <c r="K13">
        <f t="shared" ref="K13:L28" si="1">IF(G13&lt;$H$9,1,0)</f>
        <v>0</v>
      </c>
      <c r="L13">
        <f t="shared" si="1"/>
        <v>0</v>
      </c>
    </row>
    <row r="14" spans="1:12" x14ac:dyDescent="0.3">
      <c r="A14" s="2">
        <v>2</v>
      </c>
      <c r="B14" s="3">
        <f t="shared" ref="B14:B77" si="2">1/8*(12-3*C13-1*D13)</f>
        <v>1.1339285714285714</v>
      </c>
      <c r="C14" s="3">
        <f t="shared" ref="C14:C77" si="3">1/4*(5-2*B14+1*D13)</f>
        <v>1.0401785714285714</v>
      </c>
      <c r="D14" s="3">
        <f t="shared" ref="D14:D77" si="4">1/7*(1+6*B14-0*C14)</f>
        <v>1.1147959183673468</v>
      </c>
      <c r="E14" s="1" t="str">
        <f t="shared" ref="E14:E77" si="5">IF(SUM(F14:H14)&lt;$H$9,"Converged","-")</f>
        <v>-</v>
      </c>
      <c r="F14" s="8">
        <f t="shared" ref="F14:H77" si="6">ABS((B14-B13)/B14)*100</f>
        <v>32.28346456692914</v>
      </c>
      <c r="G14" s="8">
        <f t="shared" si="0"/>
        <v>51.931330472102999</v>
      </c>
      <c r="H14" s="8">
        <f t="shared" si="0"/>
        <v>28.146453089244851</v>
      </c>
      <c r="J14">
        <f t="shared" ref="J14:L77" si="7">IF(F14&lt;$H$9,1,0)</f>
        <v>0</v>
      </c>
      <c r="K14">
        <f t="shared" si="1"/>
        <v>0</v>
      </c>
      <c r="L14">
        <f t="shared" si="1"/>
        <v>0</v>
      </c>
    </row>
    <row r="15" spans="1:12" x14ac:dyDescent="0.3">
      <c r="A15" s="2">
        <v>3</v>
      </c>
      <c r="B15" s="3">
        <f t="shared" si="2"/>
        <v>0.97058354591836726</v>
      </c>
      <c r="C15" s="3">
        <f t="shared" si="3"/>
        <v>1.043407206632653</v>
      </c>
      <c r="D15" s="3">
        <f t="shared" si="4"/>
        <v>0.97478589650145753</v>
      </c>
      <c r="E15" s="1" t="str">
        <f t="shared" si="5"/>
        <v>-</v>
      </c>
      <c r="F15" s="8">
        <f t="shared" si="6"/>
        <v>16.829568788501035</v>
      </c>
      <c r="G15" s="8">
        <f t="shared" si="0"/>
        <v>0.30943194407303476</v>
      </c>
      <c r="H15" s="8">
        <f t="shared" si="0"/>
        <v>14.363156296002067</v>
      </c>
      <c r="J15">
        <f t="shared" si="7"/>
        <v>0</v>
      </c>
      <c r="K15">
        <f t="shared" si="1"/>
        <v>0</v>
      </c>
      <c r="L15">
        <f t="shared" si="1"/>
        <v>0</v>
      </c>
    </row>
    <row r="16" spans="1:12" x14ac:dyDescent="0.3">
      <c r="A16" s="2">
        <v>4</v>
      </c>
      <c r="B16" s="3">
        <f t="shared" si="2"/>
        <v>0.98687406045007287</v>
      </c>
      <c r="C16" s="3">
        <f t="shared" si="3"/>
        <v>1.0002594439003281</v>
      </c>
      <c r="D16" s="3">
        <f t="shared" si="4"/>
        <v>0.98874919467149103</v>
      </c>
      <c r="E16" s="1" t="str">
        <f t="shared" si="5"/>
        <v>-</v>
      </c>
      <c r="F16" s="8">
        <f t="shared" si="6"/>
        <v>1.6507186868683288</v>
      </c>
      <c r="G16" s="8">
        <f t="shared" si="0"/>
        <v>4.3136571212042867</v>
      </c>
      <c r="H16" s="8">
        <f t="shared" si="0"/>
        <v>1.4122184114317042</v>
      </c>
      <c r="J16">
        <f t="shared" si="7"/>
        <v>0</v>
      </c>
      <c r="K16">
        <f t="shared" si="1"/>
        <v>0</v>
      </c>
      <c r="L16">
        <f t="shared" si="1"/>
        <v>0</v>
      </c>
    </row>
    <row r="17" spans="1:12" x14ac:dyDescent="0.3">
      <c r="A17" s="2">
        <v>5</v>
      </c>
      <c r="B17" s="3">
        <f t="shared" si="2"/>
        <v>1.0013090592034404</v>
      </c>
      <c r="C17" s="3">
        <f t="shared" si="3"/>
        <v>0.99653276906615251</v>
      </c>
      <c r="D17" s="3">
        <f t="shared" si="4"/>
        <v>1.0011220507458061</v>
      </c>
      <c r="E17" s="1" t="str">
        <f t="shared" si="5"/>
        <v>-</v>
      </c>
      <c r="F17" s="8">
        <f t="shared" si="6"/>
        <v>1.4416127189392269</v>
      </c>
      <c r="G17" s="8">
        <f t="shared" si="0"/>
        <v>0.37396410332475089</v>
      </c>
      <c r="H17" s="8">
        <f t="shared" si="0"/>
        <v>1.2358988661869583</v>
      </c>
      <c r="J17">
        <f t="shared" si="7"/>
        <v>0</v>
      </c>
      <c r="K17">
        <f t="shared" si="1"/>
        <v>0</v>
      </c>
      <c r="L17">
        <f t="shared" si="1"/>
        <v>0</v>
      </c>
    </row>
    <row r="18" spans="1:12" x14ac:dyDescent="0.3">
      <c r="A18" s="2">
        <v>6</v>
      </c>
      <c r="B18" s="3">
        <f t="shared" si="2"/>
        <v>1.001159955256967</v>
      </c>
      <c r="C18" s="3">
        <f t="shared" si="3"/>
        <v>0.99970053505796797</v>
      </c>
      <c r="D18" s="3">
        <f t="shared" si="4"/>
        <v>1.0009942473631144</v>
      </c>
      <c r="E18" s="1" t="str">
        <f t="shared" si="5"/>
        <v>-</v>
      </c>
      <c r="F18" s="8">
        <f t="shared" si="6"/>
        <v>1.4893119295319101E-2</v>
      </c>
      <c r="G18" s="8">
        <f t="shared" si="0"/>
        <v>0.31687149108425439</v>
      </c>
      <c r="H18" s="8">
        <f t="shared" si="0"/>
        <v>1.2767644072716876E-2</v>
      </c>
      <c r="J18">
        <f t="shared" si="7"/>
        <v>0</v>
      </c>
      <c r="K18">
        <f t="shared" si="1"/>
        <v>0</v>
      </c>
      <c r="L18">
        <f t="shared" si="1"/>
        <v>0</v>
      </c>
    </row>
    <row r="19" spans="1:12" x14ac:dyDescent="0.3">
      <c r="A19" s="2">
        <v>7</v>
      </c>
      <c r="B19" s="3">
        <f t="shared" si="2"/>
        <v>0.99998801843287277</v>
      </c>
      <c r="C19" s="3">
        <f t="shared" si="3"/>
        <v>1.0002545526243423</v>
      </c>
      <c r="D19" s="3">
        <f t="shared" si="4"/>
        <v>0.99998973008531955</v>
      </c>
      <c r="E19" s="1" t="str">
        <f t="shared" si="5"/>
        <v>-</v>
      </c>
      <c r="F19" s="8">
        <f t="shared" si="6"/>
        <v>0.11719508659021914</v>
      </c>
      <c r="G19" s="8">
        <f t="shared" si="0"/>
        <v>5.5387657563840807E-2</v>
      </c>
      <c r="H19" s="8">
        <f t="shared" si="0"/>
        <v>0.10045275942075119</v>
      </c>
      <c r="J19">
        <f t="shared" si="7"/>
        <v>0</v>
      </c>
      <c r="K19">
        <f t="shared" si="1"/>
        <v>0</v>
      </c>
      <c r="L19">
        <f t="shared" si="1"/>
        <v>0</v>
      </c>
    </row>
    <row r="20" spans="1:12" x14ac:dyDescent="0.3">
      <c r="A20" s="2">
        <v>8</v>
      </c>
      <c r="B20" s="3">
        <f t="shared" si="2"/>
        <v>0.99990582650520676</v>
      </c>
      <c r="C20" s="3">
        <f t="shared" si="3"/>
        <v>1.0000445192687266</v>
      </c>
      <c r="D20" s="3">
        <f t="shared" si="4"/>
        <v>0.99991927986160578</v>
      </c>
      <c r="E20" s="1" t="str">
        <f t="shared" si="5"/>
        <v>-</v>
      </c>
      <c r="F20" s="8">
        <f t="shared" si="6"/>
        <v>8.2199668696080752E-3</v>
      </c>
      <c r="G20" s="8">
        <f t="shared" si="0"/>
        <v>2.1002400550050648E-2</v>
      </c>
      <c r="H20" s="8">
        <f t="shared" si="0"/>
        <v>7.0455910924649935E-3</v>
      </c>
      <c r="J20">
        <f t="shared" si="7"/>
        <v>0</v>
      </c>
      <c r="K20">
        <f t="shared" si="1"/>
        <v>0</v>
      </c>
      <c r="L20">
        <f t="shared" si="1"/>
        <v>0</v>
      </c>
    </row>
    <row r="21" spans="1:12" x14ac:dyDescent="0.3">
      <c r="A21" s="2">
        <v>9</v>
      </c>
      <c r="B21" s="3">
        <f t="shared" si="2"/>
        <v>0.99999339529152675</v>
      </c>
      <c r="C21" s="3">
        <f t="shared" si="3"/>
        <v>0.99998312231963804</v>
      </c>
      <c r="D21" s="3">
        <f t="shared" si="4"/>
        <v>0.99999433882130861</v>
      </c>
      <c r="E21" s="1" t="str">
        <f t="shared" si="5"/>
        <v>-</v>
      </c>
      <c r="F21" s="8">
        <f t="shared" si="6"/>
        <v>8.7569364690116384E-3</v>
      </c>
      <c r="G21" s="8">
        <f t="shared" si="0"/>
        <v>6.1397985344148354E-3</v>
      </c>
      <c r="H21" s="8">
        <f t="shared" si="0"/>
        <v>7.5059384627422778E-3</v>
      </c>
      <c r="J21">
        <f t="shared" si="7"/>
        <v>0</v>
      </c>
      <c r="K21">
        <f t="shared" si="1"/>
        <v>0</v>
      </c>
      <c r="L21">
        <f t="shared" si="1"/>
        <v>0</v>
      </c>
    </row>
    <row r="22" spans="1:12" x14ac:dyDescent="0.3">
      <c r="A22" s="2">
        <v>10</v>
      </c>
      <c r="B22" s="3">
        <f t="shared" si="2"/>
        <v>1.0000070367774723</v>
      </c>
      <c r="C22" s="3">
        <f t="shared" si="3"/>
        <v>0.99999506631659107</v>
      </c>
      <c r="D22" s="3">
        <f t="shared" si="4"/>
        <v>1.0000060315235475</v>
      </c>
      <c r="E22" s="1" t="str">
        <f t="shared" si="5"/>
        <v>-</v>
      </c>
      <c r="F22" s="8">
        <f t="shared" si="6"/>
        <v>1.3641389954089213E-3</v>
      </c>
      <c r="G22" s="8">
        <f t="shared" si="0"/>
        <v>1.1944055881224723E-3</v>
      </c>
      <c r="H22" s="8">
        <f t="shared" si="0"/>
        <v>1.1692631714502225E-3</v>
      </c>
      <c r="J22">
        <f t="shared" si="7"/>
        <v>0</v>
      </c>
      <c r="K22">
        <f t="shared" si="1"/>
        <v>0</v>
      </c>
      <c r="L22">
        <f t="shared" si="1"/>
        <v>0</v>
      </c>
    </row>
    <row r="23" spans="1:12" x14ac:dyDescent="0.3">
      <c r="A23" s="2">
        <v>11</v>
      </c>
      <c r="B23" s="3">
        <f t="shared" si="2"/>
        <v>1.000001096190835</v>
      </c>
      <c r="C23" s="3">
        <f t="shared" si="3"/>
        <v>1.0000009597854693</v>
      </c>
      <c r="D23" s="3">
        <f t="shared" si="4"/>
        <v>1.0000009395921443</v>
      </c>
      <c r="E23" s="1" t="str">
        <f t="shared" si="5"/>
        <v>-</v>
      </c>
      <c r="F23" s="8">
        <f t="shared" si="6"/>
        <v>5.9405801252668808E-4</v>
      </c>
      <c r="G23" s="8">
        <f t="shared" si="0"/>
        <v>5.8934632217882337E-4</v>
      </c>
      <c r="H23" s="8">
        <f t="shared" si="0"/>
        <v>5.0919266188551699E-4</v>
      </c>
      <c r="J23">
        <f t="shared" si="7"/>
        <v>0</v>
      </c>
      <c r="K23">
        <f t="shared" si="1"/>
        <v>0</v>
      </c>
      <c r="L23">
        <f t="shared" si="1"/>
        <v>0</v>
      </c>
    </row>
    <row r="24" spans="1:12" x14ac:dyDescent="0.3">
      <c r="A24" s="2">
        <v>12</v>
      </c>
      <c r="B24" s="3">
        <f t="shared" si="2"/>
        <v>0.99999952263143088</v>
      </c>
      <c r="C24" s="3">
        <f t="shared" si="3"/>
        <v>1.0000004735823207</v>
      </c>
      <c r="D24" s="3">
        <f t="shared" si="4"/>
        <v>0.99999959082694068</v>
      </c>
      <c r="E24" s="1" t="str">
        <f t="shared" si="5"/>
        <v>-</v>
      </c>
      <c r="F24" s="8">
        <f t="shared" si="6"/>
        <v>1.5735601552792399E-4</v>
      </c>
      <c r="G24" s="8">
        <f t="shared" si="0"/>
        <v>4.8620291837368628E-5</v>
      </c>
      <c r="H24" s="8">
        <f t="shared" si="0"/>
        <v>1.3487657555134159E-4</v>
      </c>
      <c r="J24">
        <f t="shared" si="7"/>
        <v>0</v>
      </c>
      <c r="K24">
        <f t="shared" si="1"/>
        <v>0</v>
      </c>
      <c r="L24">
        <f t="shared" si="1"/>
        <v>0</v>
      </c>
    </row>
    <row r="25" spans="1:12" x14ac:dyDescent="0.3">
      <c r="A25" s="2">
        <v>13</v>
      </c>
      <c r="B25" s="3">
        <f t="shared" si="2"/>
        <v>0.99999987355326214</v>
      </c>
      <c r="C25" s="3">
        <f t="shared" si="3"/>
        <v>0.99999996093010413</v>
      </c>
      <c r="D25" s="3">
        <f t="shared" si="4"/>
        <v>0.9999998916170818</v>
      </c>
      <c r="E25" s="1" t="str">
        <f t="shared" si="5"/>
        <v>-</v>
      </c>
      <c r="F25" s="8">
        <f t="shared" si="6"/>
        <v>3.5092187563321329E-5</v>
      </c>
      <c r="G25" s="8">
        <f t="shared" si="0"/>
        <v>5.1265223659586983E-5</v>
      </c>
      <c r="H25" s="8">
        <f t="shared" si="0"/>
        <v>3.0079017372834363E-5</v>
      </c>
      <c r="J25">
        <f t="shared" si="7"/>
        <v>0</v>
      </c>
      <c r="K25">
        <f t="shared" si="1"/>
        <v>0</v>
      </c>
      <c r="L25">
        <f t="shared" si="1"/>
        <v>0</v>
      </c>
    </row>
    <row r="26" spans="1:12" x14ac:dyDescent="0.3">
      <c r="A26" s="2">
        <v>14</v>
      </c>
      <c r="B26" s="3">
        <f t="shared" si="2"/>
        <v>1.0000000281990757</v>
      </c>
      <c r="C26" s="3">
        <f t="shared" si="3"/>
        <v>0.99999995880473258</v>
      </c>
      <c r="D26" s="3">
        <f t="shared" si="4"/>
        <v>1.0000000241706362</v>
      </c>
      <c r="E26" s="1" t="str">
        <f t="shared" si="5"/>
        <v>-</v>
      </c>
      <c r="F26" s="8">
        <f t="shared" si="6"/>
        <v>1.5464580923838344E-5</v>
      </c>
      <c r="G26" s="8">
        <f t="shared" si="0"/>
        <v>2.125371632980278E-7</v>
      </c>
      <c r="H26" s="8">
        <f t="shared" si="0"/>
        <v>1.325535511511379E-5</v>
      </c>
      <c r="J26">
        <f t="shared" si="7"/>
        <v>0</v>
      </c>
      <c r="K26">
        <f t="shared" si="1"/>
        <v>1</v>
      </c>
      <c r="L26">
        <f t="shared" si="1"/>
        <v>0</v>
      </c>
    </row>
    <row r="27" spans="1:12" x14ac:dyDescent="0.3">
      <c r="A27" s="2">
        <v>15</v>
      </c>
      <c r="B27" s="3">
        <f t="shared" si="2"/>
        <v>1.000000012426896</v>
      </c>
      <c r="C27" s="3">
        <f t="shared" si="3"/>
        <v>0.99999999982921106</v>
      </c>
      <c r="D27" s="3">
        <f t="shared" si="4"/>
        <v>1.0000000106516251</v>
      </c>
      <c r="E27" s="1" t="str">
        <f t="shared" si="5"/>
        <v>-</v>
      </c>
      <c r="F27" s="8">
        <f t="shared" si="6"/>
        <v>1.5772179588435335E-6</v>
      </c>
      <c r="G27" s="8">
        <f t="shared" si="0"/>
        <v>4.1024478487984198E-6</v>
      </c>
      <c r="H27" s="8">
        <f t="shared" si="0"/>
        <v>1.3519010877757019E-6</v>
      </c>
      <c r="J27">
        <f t="shared" si="7"/>
        <v>0</v>
      </c>
      <c r="K27">
        <f t="shared" si="1"/>
        <v>0</v>
      </c>
      <c r="L27">
        <f t="shared" si="1"/>
        <v>0</v>
      </c>
    </row>
    <row r="28" spans="1:12" x14ac:dyDescent="0.3">
      <c r="A28" s="2">
        <v>16</v>
      </c>
      <c r="B28" s="3">
        <f t="shared" si="2"/>
        <v>0.99999999873259271</v>
      </c>
      <c r="C28" s="3">
        <f t="shared" si="3"/>
        <v>1.0000000032966099</v>
      </c>
      <c r="D28" s="3">
        <f t="shared" si="4"/>
        <v>0.99999999891365088</v>
      </c>
      <c r="E28" s="1" t="str">
        <f t="shared" si="5"/>
        <v>-</v>
      </c>
      <c r="F28" s="8">
        <f t="shared" si="6"/>
        <v>1.3694303264292361E-6</v>
      </c>
      <c r="G28" s="8">
        <f t="shared" si="0"/>
        <v>3.4673988010871243E-7</v>
      </c>
      <c r="H28" s="8">
        <f t="shared" si="0"/>
        <v>1.1737974271992041E-6</v>
      </c>
      <c r="J28">
        <f t="shared" si="7"/>
        <v>0</v>
      </c>
      <c r="K28">
        <f t="shared" si="1"/>
        <v>1</v>
      </c>
      <c r="L28">
        <f t="shared" si="1"/>
        <v>0</v>
      </c>
    </row>
    <row r="29" spans="1:12" x14ac:dyDescent="0.3">
      <c r="A29" s="2">
        <v>17</v>
      </c>
      <c r="B29" s="3">
        <f t="shared" si="2"/>
        <v>0.99999999889956492</v>
      </c>
      <c r="C29" s="3">
        <f t="shared" si="3"/>
        <v>1.0000000002786302</v>
      </c>
      <c r="D29" s="3">
        <f t="shared" si="4"/>
        <v>0.99999999905676995</v>
      </c>
      <c r="E29" s="1" t="str">
        <f t="shared" si="5"/>
        <v>Converged</v>
      </c>
      <c r="F29" s="8">
        <f t="shared" si="6"/>
        <v>1.669722140168474E-8</v>
      </c>
      <c r="G29" s="8">
        <f t="shared" si="6"/>
        <v>3.0179796431302022E-7</v>
      </c>
      <c r="H29" s="8">
        <f t="shared" si="6"/>
        <v>1.4311907228402808E-8</v>
      </c>
      <c r="J29">
        <f t="shared" si="7"/>
        <v>1</v>
      </c>
      <c r="K29">
        <f t="shared" si="7"/>
        <v>1</v>
      </c>
      <c r="L29">
        <f t="shared" si="7"/>
        <v>1</v>
      </c>
    </row>
    <row r="30" spans="1:12" x14ac:dyDescent="0.3">
      <c r="A30" s="2">
        <v>18</v>
      </c>
      <c r="B30" s="3">
        <f t="shared" si="2"/>
        <v>1.0000000000134175</v>
      </c>
      <c r="C30" s="3">
        <f t="shared" si="3"/>
        <v>0.99999999975748377</v>
      </c>
      <c r="D30" s="3">
        <f t="shared" si="4"/>
        <v>1.0000000000115006</v>
      </c>
      <c r="E30" s="1" t="str">
        <f t="shared" si="5"/>
        <v>Converged</v>
      </c>
      <c r="F30" s="8">
        <f t="shared" si="6"/>
        <v>1.113852565722316E-7</v>
      </c>
      <c r="G30" s="8">
        <f t="shared" si="6"/>
        <v>5.211464594466073E-8</v>
      </c>
      <c r="H30" s="8">
        <f t="shared" si="6"/>
        <v>9.5473062787799785E-8</v>
      </c>
      <c r="J30">
        <f t="shared" si="7"/>
        <v>1</v>
      </c>
      <c r="K30">
        <f t="shared" si="7"/>
        <v>1</v>
      </c>
      <c r="L30">
        <f t="shared" si="7"/>
        <v>1</v>
      </c>
    </row>
    <row r="31" spans="1:12" x14ac:dyDescent="0.3">
      <c r="A31" s="2">
        <v>19</v>
      </c>
      <c r="B31" s="3">
        <f t="shared" si="2"/>
        <v>1.0000000000895062</v>
      </c>
      <c r="C31" s="3">
        <f t="shared" si="3"/>
        <v>0.99999999995812205</v>
      </c>
      <c r="D31" s="3">
        <f t="shared" si="4"/>
        <v>1.0000000000767195</v>
      </c>
      <c r="E31" s="1" t="str">
        <f t="shared" si="5"/>
        <v>Converged</v>
      </c>
      <c r="F31" s="8">
        <f t="shared" si="6"/>
        <v>7.6088690896664844E-9</v>
      </c>
      <c r="G31" s="8">
        <f t="shared" si="6"/>
        <v>2.0063828377333354E-8</v>
      </c>
      <c r="H31" s="8">
        <f t="shared" si="6"/>
        <v>6.521894135357663E-9</v>
      </c>
      <c r="J31">
        <f t="shared" si="7"/>
        <v>1</v>
      </c>
      <c r="K31">
        <f t="shared" si="7"/>
        <v>1</v>
      </c>
      <c r="L31">
        <f t="shared" si="7"/>
        <v>1</v>
      </c>
    </row>
    <row r="32" spans="1:12" x14ac:dyDescent="0.3">
      <c r="A32" s="2">
        <v>20</v>
      </c>
      <c r="B32" s="3">
        <f t="shared" si="2"/>
        <v>1.0000000000061144</v>
      </c>
      <c r="C32" s="3">
        <f t="shared" si="3"/>
        <v>1.0000000000161227</v>
      </c>
      <c r="D32" s="3">
        <f t="shared" si="4"/>
        <v>1.0000000000052409</v>
      </c>
      <c r="E32" s="1" t="str">
        <f t="shared" si="5"/>
        <v>Converged</v>
      </c>
      <c r="F32" s="8">
        <f t="shared" si="6"/>
        <v>8.3391737958949642E-9</v>
      </c>
      <c r="G32" s="8">
        <f t="shared" si="6"/>
        <v>5.8000604318439696E-9</v>
      </c>
      <c r="H32" s="8">
        <f t="shared" si="6"/>
        <v>7.147860081564714E-9</v>
      </c>
      <c r="J32">
        <f t="shared" si="7"/>
        <v>1</v>
      </c>
      <c r="K32">
        <f t="shared" si="7"/>
        <v>1</v>
      </c>
      <c r="L32">
        <f t="shared" si="7"/>
        <v>1</v>
      </c>
    </row>
    <row r="33" spans="1:12" x14ac:dyDescent="0.3">
      <c r="A33" s="2">
        <v>21</v>
      </c>
      <c r="B33" s="3">
        <f t="shared" si="2"/>
        <v>0.9999999999932988</v>
      </c>
      <c r="C33" s="3">
        <f t="shared" si="3"/>
        <v>1.0000000000046609</v>
      </c>
      <c r="D33" s="3">
        <f t="shared" si="4"/>
        <v>0.99999999999425615</v>
      </c>
      <c r="E33" s="1" t="str">
        <f t="shared" si="5"/>
        <v>Converged</v>
      </c>
      <c r="F33" s="8">
        <f t="shared" si="6"/>
        <v>1.2815637440241449E-9</v>
      </c>
      <c r="G33" s="8">
        <f t="shared" si="6"/>
        <v>1.1461720461571768E-9</v>
      </c>
      <c r="H33" s="8">
        <f t="shared" si="6"/>
        <v>1.0984768650309319E-9</v>
      </c>
      <c r="J33">
        <f t="shared" si="7"/>
        <v>1</v>
      </c>
      <c r="K33">
        <f t="shared" si="7"/>
        <v>1</v>
      </c>
      <c r="L33">
        <f t="shared" si="7"/>
        <v>1</v>
      </c>
    </row>
    <row r="34" spans="1:12" x14ac:dyDescent="0.3">
      <c r="A34" s="2">
        <v>22</v>
      </c>
      <c r="B34" s="3">
        <f t="shared" si="2"/>
        <v>0.99999999999897005</v>
      </c>
      <c r="C34" s="3">
        <f t="shared" si="3"/>
        <v>0.99999999999907896</v>
      </c>
      <c r="D34" s="3">
        <f t="shared" si="4"/>
        <v>0.99999999999911715</v>
      </c>
      <c r="E34" s="1" t="str">
        <f t="shared" si="5"/>
        <v>Converged</v>
      </c>
      <c r="F34" s="8">
        <f t="shared" si="6"/>
        <v>5.6712412543960656E-10</v>
      </c>
      <c r="G34" s="8">
        <f t="shared" si="6"/>
        <v>5.581979323215504E-10</v>
      </c>
      <c r="H34" s="8">
        <f t="shared" si="6"/>
        <v>4.8610004910230774E-10</v>
      </c>
      <c r="J34">
        <f t="shared" si="7"/>
        <v>1</v>
      </c>
      <c r="K34">
        <f t="shared" si="7"/>
        <v>1</v>
      </c>
      <c r="L34">
        <f t="shared" si="7"/>
        <v>1</v>
      </c>
    </row>
    <row r="35" spans="1:12" x14ac:dyDescent="0.3">
      <c r="A35" s="2">
        <v>23</v>
      </c>
      <c r="B35" s="3">
        <f t="shared" si="2"/>
        <v>1.0000000000004559</v>
      </c>
      <c r="C35" s="3">
        <f t="shared" si="3"/>
        <v>0.99999999999955136</v>
      </c>
      <c r="D35" s="3">
        <f t="shared" si="4"/>
        <v>1.0000000000003908</v>
      </c>
      <c r="E35" s="1" t="str">
        <f t="shared" si="5"/>
        <v>Converged</v>
      </c>
      <c r="F35" s="8">
        <f t="shared" si="6"/>
        <v>1.4858114738551697E-10</v>
      </c>
      <c r="G35" s="8">
        <f t="shared" si="6"/>
        <v>4.7239989697821607E-11</v>
      </c>
      <c r="H35" s="8">
        <f t="shared" si="6"/>
        <v>1.2736478538494817E-10</v>
      </c>
      <c r="J35">
        <f t="shared" si="7"/>
        <v>1</v>
      </c>
      <c r="K35">
        <f t="shared" si="7"/>
        <v>1</v>
      </c>
      <c r="L35">
        <f t="shared" si="7"/>
        <v>1</v>
      </c>
    </row>
    <row r="36" spans="1:12" x14ac:dyDescent="0.3">
      <c r="A36" s="2">
        <v>24</v>
      </c>
      <c r="B36" s="3">
        <f t="shared" si="2"/>
        <v>1.0000000000001195</v>
      </c>
      <c r="C36" s="3">
        <f t="shared" si="3"/>
        <v>1.000000000000038</v>
      </c>
      <c r="D36" s="3">
        <f t="shared" si="4"/>
        <v>1.0000000000001024</v>
      </c>
      <c r="E36" s="1" t="str">
        <f t="shared" si="5"/>
        <v>Converged</v>
      </c>
      <c r="F36" s="8">
        <f t="shared" si="6"/>
        <v>3.3639757646138224E-11</v>
      </c>
      <c r="G36" s="8">
        <f t="shared" si="6"/>
        <v>4.8661075169318763E-11</v>
      </c>
      <c r="H36" s="8">
        <f t="shared" si="6"/>
        <v>2.8843594179758614E-11</v>
      </c>
      <c r="J36">
        <f t="shared" si="7"/>
        <v>1</v>
      </c>
      <c r="K36">
        <f t="shared" si="7"/>
        <v>1</v>
      </c>
      <c r="L36">
        <f t="shared" si="7"/>
        <v>1</v>
      </c>
    </row>
    <row r="37" spans="1:12" x14ac:dyDescent="0.3">
      <c r="A37" s="2">
        <v>25</v>
      </c>
      <c r="B37" s="3">
        <f t="shared" si="2"/>
        <v>0.99999999999997302</v>
      </c>
      <c r="C37" s="3">
        <f t="shared" si="3"/>
        <v>1.0000000000000391</v>
      </c>
      <c r="D37" s="3">
        <f t="shared" si="4"/>
        <v>0.99999999999997691</v>
      </c>
      <c r="E37" s="1" t="str">
        <f t="shared" si="5"/>
        <v>Converged</v>
      </c>
      <c r="F37" s="8">
        <f t="shared" si="6"/>
        <v>1.4643841694806212E-11</v>
      </c>
      <c r="G37" s="8">
        <f t="shared" si="6"/>
        <v>1.1102230246251131E-13</v>
      </c>
      <c r="H37" s="8">
        <f t="shared" si="6"/>
        <v>1.254552017826456E-11</v>
      </c>
      <c r="J37">
        <f t="shared" si="7"/>
        <v>1</v>
      </c>
      <c r="K37">
        <f t="shared" si="7"/>
        <v>1</v>
      </c>
      <c r="L37">
        <f t="shared" si="7"/>
        <v>1</v>
      </c>
    </row>
    <row r="38" spans="1:12" x14ac:dyDescent="0.3">
      <c r="A38" s="2">
        <v>26</v>
      </c>
      <c r="B38" s="3">
        <f t="shared" si="2"/>
        <v>0.99999999999998823</v>
      </c>
      <c r="C38" s="3">
        <f t="shared" si="3"/>
        <v>1</v>
      </c>
      <c r="D38" s="3">
        <f t="shared" si="4"/>
        <v>0.99999999999998979</v>
      </c>
      <c r="E38" s="1" t="str">
        <f t="shared" si="5"/>
        <v>Converged</v>
      </c>
      <c r="F38" s="8">
        <f t="shared" si="6"/>
        <v>1.5210055437364824E-12</v>
      </c>
      <c r="G38" s="8">
        <f t="shared" si="6"/>
        <v>3.907985046680551E-12</v>
      </c>
      <c r="H38" s="8">
        <f t="shared" si="6"/>
        <v>1.2878587085651947E-12</v>
      </c>
      <c r="J38">
        <f t="shared" si="7"/>
        <v>1</v>
      </c>
      <c r="K38">
        <f t="shared" si="7"/>
        <v>1</v>
      </c>
      <c r="L38">
        <f t="shared" si="7"/>
        <v>1</v>
      </c>
    </row>
    <row r="39" spans="1:12" x14ac:dyDescent="0.3">
      <c r="A39" s="2">
        <v>27</v>
      </c>
      <c r="B39" s="3">
        <f t="shared" si="2"/>
        <v>1.0000000000000013</v>
      </c>
      <c r="C39" s="3">
        <f t="shared" si="3"/>
        <v>0.99999999999999678</v>
      </c>
      <c r="D39" s="3">
        <f t="shared" si="4"/>
        <v>1.0000000000000011</v>
      </c>
      <c r="E39" s="1" t="str">
        <f t="shared" si="5"/>
        <v>Converged</v>
      </c>
      <c r="F39" s="8">
        <f t="shared" si="6"/>
        <v>1.3100631690576829E-12</v>
      </c>
      <c r="G39" s="8">
        <f t="shared" si="6"/>
        <v>3.2196467714129641E-13</v>
      </c>
      <c r="H39" s="8">
        <f t="shared" si="6"/>
        <v>1.1324274851176585E-12</v>
      </c>
      <c r="J39">
        <f t="shared" si="7"/>
        <v>1</v>
      </c>
      <c r="K39">
        <f t="shared" si="7"/>
        <v>1</v>
      </c>
      <c r="L39">
        <f t="shared" si="7"/>
        <v>1</v>
      </c>
    </row>
    <row r="40" spans="1:12" x14ac:dyDescent="0.3">
      <c r="A40" s="2">
        <v>28</v>
      </c>
      <c r="B40" s="3">
        <f t="shared" si="2"/>
        <v>1.0000000000000011</v>
      </c>
      <c r="C40" s="3">
        <f t="shared" si="3"/>
        <v>0.99999999999999978</v>
      </c>
      <c r="D40" s="3">
        <f t="shared" si="4"/>
        <v>1.0000000000000009</v>
      </c>
      <c r="E40" s="1" t="str">
        <f t="shared" si="5"/>
        <v>Converged</v>
      </c>
      <c r="F40" s="8">
        <f t="shared" si="6"/>
        <v>2.2204460492503106E-14</v>
      </c>
      <c r="G40" s="8">
        <f t="shared" si="6"/>
        <v>2.9976021664879237E-13</v>
      </c>
      <c r="H40" s="8">
        <f t="shared" si="6"/>
        <v>2.2204460492503112E-14</v>
      </c>
      <c r="J40">
        <f t="shared" si="7"/>
        <v>1</v>
      </c>
      <c r="K40">
        <f t="shared" si="7"/>
        <v>1</v>
      </c>
      <c r="L40">
        <f t="shared" si="7"/>
        <v>1</v>
      </c>
    </row>
    <row r="41" spans="1:12" x14ac:dyDescent="0.3">
      <c r="A41" s="2">
        <v>29</v>
      </c>
      <c r="B41" s="3">
        <f t="shared" si="2"/>
        <v>0.99999999999999989</v>
      </c>
      <c r="C41" s="3">
        <f t="shared" si="3"/>
        <v>1.0000000000000002</v>
      </c>
      <c r="D41" s="3">
        <f t="shared" si="4"/>
        <v>0.99999999999999978</v>
      </c>
      <c r="E41" s="1" t="str">
        <f t="shared" si="5"/>
        <v>Converged</v>
      </c>
      <c r="F41" s="8">
        <f t="shared" si="6"/>
        <v>1.2212453270876724E-13</v>
      </c>
      <c r="G41" s="8">
        <f t="shared" si="6"/>
        <v>4.4408920985006249E-14</v>
      </c>
      <c r="H41" s="8">
        <f t="shared" si="6"/>
        <v>1.1102230246251568E-13</v>
      </c>
      <c r="J41">
        <f t="shared" si="7"/>
        <v>1</v>
      </c>
      <c r="K41">
        <f t="shared" si="7"/>
        <v>1</v>
      </c>
      <c r="L41">
        <f t="shared" si="7"/>
        <v>1</v>
      </c>
    </row>
    <row r="42" spans="1:12" x14ac:dyDescent="0.3">
      <c r="A42" s="2">
        <v>30</v>
      </c>
      <c r="B42" s="3">
        <f t="shared" si="2"/>
        <v>1</v>
      </c>
      <c r="C42" s="3">
        <f t="shared" si="3"/>
        <v>1</v>
      </c>
      <c r="D42" s="3">
        <f t="shared" si="4"/>
        <v>1</v>
      </c>
      <c r="E42" s="1" t="str">
        <f t="shared" si="5"/>
        <v>Converged</v>
      </c>
      <c r="F42" s="8">
        <f t="shared" si="6"/>
        <v>1.1102230246251565E-14</v>
      </c>
      <c r="G42" s="8">
        <f t="shared" si="6"/>
        <v>2.2204460492503131E-14</v>
      </c>
      <c r="H42" s="8">
        <f t="shared" si="6"/>
        <v>2.2204460492503131E-14</v>
      </c>
      <c r="J42">
        <f t="shared" si="7"/>
        <v>1</v>
      </c>
      <c r="K42">
        <f t="shared" si="7"/>
        <v>1</v>
      </c>
      <c r="L42">
        <f t="shared" si="7"/>
        <v>1</v>
      </c>
    </row>
    <row r="43" spans="1:12" x14ac:dyDescent="0.3">
      <c r="A43" s="2">
        <v>31</v>
      </c>
      <c r="B43" s="3">
        <f t="shared" si="2"/>
        <v>1</v>
      </c>
      <c r="C43" s="3">
        <f t="shared" si="3"/>
        <v>1</v>
      </c>
      <c r="D43" s="3">
        <f t="shared" si="4"/>
        <v>1</v>
      </c>
      <c r="E43" s="1" t="str">
        <f t="shared" si="5"/>
        <v>Converged</v>
      </c>
      <c r="F43" s="8">
        <f t="shared" si="6"/>
        <v>0</v>
      </c>
      <c r="G43" s="8">
        <f t="shared" si="6"/>
        <v>0</v>
      </c>
      <c r="H43" s="8">
        <f t="shared" si="6"/>
        <v>0</v>
      </c>
      <c r="J43">
        <f t="shared" si="7"/>
        <v>1</v>
      </c>
      <c r="K43">
        <f t="shared" si="7"/>
        <v>1</v>
      </c>
      <c r="L43">
        <f t="shared" si="7"/>
        <v>1</v>
      </c>
    </row>
    <row r="44" spans="1:12" x14ac:dyDescent="0.3">
      <c r="A44" s="2">
        <v>32</v>
      </c>
      <c r="B44" s="3">
        <f t="shared" si="2"/>
        <v>1</v>
      </c>
      <c r="C44" s="3">
        <f t="shared" si="3"/>
        <v>1</v>
      </c>
      <c r="D44" s="3">
        <f t="shared" si="4"/>
        <v>1</v>
      </c>
      <c r="E44" s="1" t="str">
        <f t="shared" si="5"/>
        <v>Converged</v>
      </c>
      <c r="F44" s="8">
        <f t="shared" si="6"/>
        <v>0</v>
      </c>
      <c r="G44" s="8">
        <f t="shared" si="6"/>
        <v>0</v>
      </c>
      <c r="H44" s="8">
        <f t="shared" si="6"/>
        <v>0</v>
      </c>
      <c r="J44">
        <f t="shared" si="7"/>
        <v>1</v>
      </c>
      <c r="K44">
        <f t="shared" si="7"/>
        <v>1</v>
      </c>
      <c r="L44">
        <f t="shared" si="7"/>
        <v>1</v>
      </c>
    </row>
    <row r="45" spans="1:12" x14ac:dyDescent="0.3">
      <c r="A45" s="2">
        <v>33</v>
      </c>
      <c r="B45" s="3">
        <f t="shared" si="2"/>
        <v>1</v>
      </c>
      <c r="C45" s="3">
        <f t="shared" si="3"/>
        <v>1</v>
      </c>
      <c r="D45" s="3">
        <f t="shared" si="4"/>
        <v>1</v>
      </c>
      <c r="E45" s="1" t="str">
        <f t="shared" si="5"/>
        <v>Converged</v>
      </c>
      <c r="F45" s="8">
        <f t="shared" si="6"/>
        <v>0</v>
      </c>
      <c r="G45" s="8">
        <f t="shared" si="6"/>
        <v>0</v>
      </c>
      <c r="H45" s="8">
        <f t="shared" si="6"/>
        <v>0</v>
      </c>
      <c r="J45">
        <f t="shared" si="7"/>
        <v>1</v>
      </c>
      <c r="K45">
        <f t="shared" si="7"/>
        <v>1</v>
      </c>
      <c r="L45">
        <f t="shared" si="7"/>
        <v>1</v>
      </c>
    </row>
    <row r="46" spans="1:12" x14ac:dyDescent="0.3">
      <c r="A46" s="2">
        <v>34</v>
      </c>
      <c r="B46" s="3">
        <f t="shared" si="2"/>
        <v>1</v>
      </c>
      <c r="C46" s="3">
        <f t="shared" si="3"/>
        <v>1</v>
      </c>
      <c r="D46" s="3">
        <f t="shared" si="4"/>
        <v>1</v>
      </c>
      <c r="E46" s="1" t="str">
        <f t="shared" si="5"/>
        <v>Converged</v>
      </c>
      <c r="F46" s="8">
        <f t="shared" si="6"/>
        <v>0</v>
      </c>
      <c r="G46" s="8">
        <f t="shared" si="6"/>
        <v>0</v>
      </c>
      <c r="H46" s="8">
        <f t="shared" si="6"/>
        <v>0</v>
      </c>
      <c r="J46">
        <f t="shared" si="7"/>
        <v>1</v>
      </c>
      <c r="K46">
        <f t="shared" si="7"/>
        <v>1</v>
      </c>
      <c r="L46">
        <f t="shared" si="7"/>
        <v>1</v>
      </c>
    </row>
    <row r="47" spans="1:12" x14ac:dyDescent="0.3">
      <c r="A47" s="2">
        <v>35</v>
      </c>
      <c r="B47" s="3">
        <f t="shared" si="2"/>
        <v>1</v>
      </c>
      <c r="C47" s="3">
        <f t="shared" si="3"/>
        <v>1</v>
      </c>
      <c r="D47" s="3">
        <f t="shared" si="4"/>
        <v>1</v>
      </c>
      <c r="E47" s="1" t="str">
        <f t="shared" si="5"/>
        <v>Converged</v>
      </c>
      <c r="F47" s="8">
        <f t="shared" si="6"/>
        <v>0</v>
      </c>
      <c r="G47" s="8">
        <f t="shared" si="6"/>
        <v>0</v>
      </c>
      <c r="H47" s="8">
        <f t="shared" si="6"/>
        <v>0</v>
      </c>
      <c r="J47">
        <f t="shared" si="7"/>
        <v>1</v>
      </c>
      <c r="K47">
        <f t="shared" si="7"/>
        <v>1</v>
      </c>
      <c r="L47">
        <f t="shared" si="7"/>
        <v>1</v>
      </c>
    </row>
    <row r="48" spans="1:12" x14ac:dyDescent="0.3">
      <c r="A48" s="2">
        <v>36</v>
      </c>
      <c r="B48" s="3">
        <f t="shared" si="2"/>
        <v>1</v>
      </c>
      <c r="C48" s="3">
        <f t="shared" si="3"/>
        <v>1</v>
      </c>
      <c r="D48" s="3">
        <f t="shared" si="4"/>
        <v>1</v>
      </c>
      <c r="E48" s="1" t="str">
        <f t="shared" si="5"/>
        <v>Converged</v>
      </c>
      <c r="F48" s="8">
        <f t="shared" si="6"/>
        <v>0</v>
      </c>
      <c r="G48" s="8">
        <f t="shared" si="6"/>
        <v>0</v>
      </c>
      <c r="H48" s="8">
        <f t="shared" si="6"/>
        <v>0</v>
      </c>
      <c r="J48">
        <f t="shared" si="7"/>
        <v>1</v>
      </c>
      <c r="K48">
        <f t="shared" si="7"/>
        <v>1</v>
      </c>
      <c r="L48">
        <f t="shared" si="7"/>
        <v>1</v>
      </c>
    </row>
    <row r="49" spans="1:12" x14ac:dyDescent="0.3">
      <c r="A49" s="2">
        <v>37</v>
      </c>
      <c r="B49" s="3">
        <f t="shared" si="2"/>
        <v>1</v>
      </c>
      <c r="C49" s="3">
        <f t="shared" si="3"/>
        <v>1</v>
      </c>
      <c r="D49" s="3">
        <f t="shared" si="4"/>
        <v>1</v>
      </c>
      <c r="E49" s="1" t="str">
        <f t="shared" si="5"/>
        <v>Converged</v>
      </c>
      <c r="F49" s="8">
        <f t="shared" si="6"/>
        <v>0</v>
      </c>
      <c r="G49" s="8">
        <f t="shared" si="6"/>
        <v>0</v>
      </c>
      <c r="H49" s="8">
        <f t="shared" si="6"/>
        <v>0</v>
      </c>
      <c r="J49">
        <f t="shared" si="7"/>
        <v>1</v>
      </c>
      <c r="K49">
        <f t="shared" si="7"/>
        <v>1</v>
      </c>
      <c r="L49">
        <f t="shared" si="7"/>
        <v>1</v>
      </c>
    </row>
    <row r="50" spans="1:12" x14ac:dyDescent="0.3">
      <c r="A50" s="2">
        <v>38</v>
      </c>
      <c r="B50" s="3">
        <f t="shared" si="2"/>
        <v>1</v>
      </c>
      <c r="C50" s="3">
        <f t="shared" si="3"/>
        <v>1</v>
      </c>
      <c r="D50" s="3">
        <f t="shared" si="4"/>
        <v>1</v>
      </c>
      <c r="E50" s="1" t="str">
        <f t="shared" si="5"/>
        <v>Converged</v>
      </c>
      <c r="F50" s="8">
        <f t="shared" si="6"/>
        <v>0</v>
      </c>
      <c r="G50" s="8">
        <f t="shared" si="6"/>
        <v>0</v>
      </c>
      <c r="H50" s="8">
        <f t="shared" si="6"/>
        <v>0</v>
      </c>
      <c r="J50">
        <f t="shared" si="7"/>
        <v>1</v>
      </c>
      <c r="K50">
        <f t="shared" si="7"/>
        <v>1</v>
      </c>
      <c r="L50">
        <f t="shared" si="7"/>
        <v>1</v>
      </c>
    </row>
    <row r="51" spans="1:12" x14ac:dyDescent="0.3">
      <c r="A51" s="2">
        <v>39</v>
      </c>
      <c r="B51" s="3">
        <f t="shared" si="2"/>
        <v>1</v>
      </c>
      <c r="C51" s="3">
        <f t="shared" si="3"/>
        <v>1</v>
      </c>
      <c r="D51" s="3">
        <f t="shared" si="4"/>
        <v>1</v>
      </c>
      <c r="E51" s="1" t="str">
        <f t="shared" si="5"/>
        <v>Converged</v>
      </c>
      <c r="F51" s="8">
        <f t="shared" si="6"/>
        <v>0</v>
      </c>
      <c r="G51" s="8">
        <f t="shared" si="6"/>
        <v>0</v>
      </c>
      <c r="H51" s="8">
        <f t="shared" si="6"/>
        <v>0</v>
      </c>
      <c r="J51">
        <f t="shared" si="7"/>
        <v>1</v>
      </c>
      <c r="K51">
        <f t="shared" si="7"/>
        <v>1</v>
      </c>
      <c r="L51">
        <f t="shared" si="7"/>
        <v>1</v>
      </c>
    </row>
    <row r="52" spans="1:12" x14ac:dyDescent="0.3">
      <c r="A52" s="2">
        <v>40</v>
      </c>
      <c r="B52" s="3">
        <f t="shared" si="2"/>
        <v>1</v>
      </c>
      <c r="C52" s="3">
        <f t="shared" si="3"/>
        <v>1</v>
      </c>
      <c r="D52" s="3">
        <f t="shared" si="4"/>
        <v>1</v>
      </c>
      <c r="E52" s="1" t="str">
        <f t="shared" si="5"/>
        <v>Converged</v>
      </c>
      <c r="F52" s="8">
        <f t="shared" si="6"/>
        <v>0</v>
      </c>
      <c r="G52" s="8">
        <f t="shared" si="6"/>
        <v>0</v>
      </c>
      <c r="H52" s="8">
        <f t="shared" si="6"/>
        <v>0</v>
      </c>
      <c r="J52">
        <f t="shared" si="7"/>
        <v>1</v>
      </c>
      <c r="K52">
        <f t="shared" si="7"/>
        <v>1</v>
      </c>
      <c r="L52">
        <f t="shared" si="7"/>
        <v>1</v>
      </c>
    </row>
    <row r="53" spans="1:12" x14ac:dyDescent="0.3">
      <c r="A53" s="2">
        <v>41</v>
      </c>
      <c r="B53" s="3">
        <f t="shared" si="2"/>
        <v>1</v>
      </c>
      <c r="C53" s="3">
        <f t="shared" si="3"/>
        <v>1</v>
      </c>
      <c r="D53" s="3">
        <f t="shared" si="4"/>
        <v>1</v>
      </c>
      <c r="E53" s="1" t="str">
        <f t="shared" si="5"/>
        <v>Converged</v>
      </c>
      <c r="F53" s="8">
        <f t="shared" si="6"/>
        <v>0</v>
      </c>
      <c r="G53" s="8">
        <f t="shared" si="6"/>
        <v>0</v>
      </c>
      <c r="H53" s="8">
        <f t="shared" si="6"/>
        <v>0</v>
      </c>
      <c r="J53">
        <f t="shared" si="7"/>
        <v>1</v>
      </c>
      <c r="K53">
        <f t="shared" si="7"/>
        <v>1</v>
      </c>
      <c r="L53">
        <f t="shared" si="7"/>
        <v>1</v>
      </c>
    </row>
    <row r="54" spans="1:12" x14ac:dyDescent="0.3">
      <c r="A54" s="2">
        <v>42</v>
      </c>
      <c r="B54" s="3">
        <f t="shared" si="2"/>
        <v>1</v>
      </c>
      <c r="C54" s="3">
        <f t="shared" si="3"/>
        <v>1</v>
      </c>
      <c r="D54" s="3">
        <f t="shared" si="4"/>
        <v>1</v>
      </c>
      <c r="E54" s="1" t="str">
        <f t="shared" si="5"/>
        <v>Converged</v>
      </c>
      <c r="F54" s="8">
        <f t="shared" si="6"/>
        <v>0</v>
      </c>
      <c r="G54" s="8">
        <f t="shared" si="6"/>
        <v>0</v>
      </c>
      <c r="H54" s="8">
        <f t="shared" si="6"/>
        <v>0</v>
      </c>
      <c r="J54">
        <f t="shared" si="7"/>
        <v>1</v>
      </c>
      <c r="K54">
        <f t="shared" si="7"/>
        <v>1</v>
      </c>
      <c r="L54">
        <f t="shared" si="7"/>
        <v>1</v>
      </c>
    </row>
    <row r="55" spans="1:12" x14ac:dyDescent="0.3">
      <c r="A55" s="2">
        <v>43</v>
      </c>
      <c r="B55" s="3">
        <f t="shared" si="2"/>
        <v>1</v>
      </c>
      <c r="C55" s="3">
        <f t="shared" si="3"/>
        <v>1</v>
      </c>
      <c r="D55" s="3">
        <f t="shared" si="4"/>
        <v>1</v>
      </c>
      <c r="E55" s="1" t="str">
        <f t="shared" si="5"/>
        <v>Converged</v>
      </c>
      <c r="F55" s="8">
        <f t="shared" si="6"/>
        <v>0</v>
      </c>
      <c r="G55" s="8">
        <f t="shared" si="6"/>
        <v>0</v>
      </c>
      <c r="H55" s="8">
        <f t="shared" si="6"/>
        <v>0</v>
      </c>
      <c r="J55">
        <f t="shared" si="7"/>
        <v>1</v>
      </c>
      <c r="K55">
        <f t="shared" si="7"/>
        <v>1</v>
      </c>
      <c r="L55">
        <f t="shared" si="7"/>
        <v>1</v>
      </c>
    </row>
    <row r="56" spans="1:12" x14ac:dyDescent="0.3">
      <c r="A56" s="2">
        <v>44</v>
      </c>
      <c r="B56" s="3">
        <f t="shared" si="2"/>
        <v>1</v>
      </c>
      <c r="C56" s="3">
        <f t="shared" si="3"/>
        <v>1</v>
      </c>
      <c r="D56" s="3">
        <f t="shared" si="4"/>
        <v>1</v>
      </c>
      <c r="E56" s="1" t="str">
        <f t="shared" si="5"/>
        <v>Converged</v>
      </c>
      <c r="F56" s="8">
        <f t="shared" si="6"/>
        <v>0</v>
      </c>
      <c r="G56" s="8">
        <f t="shared" si="6"/>
        <v>0</v>
      </c>
      <c r="H56" s="8">
        <f t="shared" si="6"/>
        <v>0</v>
      </c>
      <c r="J56">
        <f t="shared" si="7"/>
        <v>1</v>
      </c>
      <c r="K56">
        <f t="shared" si="7"/>
        <v>1</v>
      </c>
      <c r="L56">
        <f t="shared" si="7"/>
        <v>1</v>
      </c>
    </row>
    <row r="57" spans="1:12" x14ac:dyDescent="0.3">
      <c r="A57" s="2">
        <v>45</v>
      </c>
      <c r="B57" s="3">
        <f t="shared" si="2"/>
        <v>1</v>
      </c>
      <c r="C57" s="3">
        <f t="shared" si="3"/>
        <v>1</v>
      </c>
      <c r="D57" s="3">
        <f t="shared" si="4"/>
        <v>1</v>
      </c>
      <c r="E57" s="1" t="str">
        <f t="shared" si="5"/>
        <v>Converged</v>
      </c>
      <c r="F57" s="8">
        <f t="shared" si="6"/>
        <v>0</v>
      </c>
      <c r="G57" s="8">
        <f t="shared" si="6"/>
        <v>0</v>
      </c>
      <c r="H57" s="8">
        <f t="shared" si="6"/>
        <v>0</v>
      </c>
      <c r="J57">
        <f t="shared" si="7"/>
        <v>1</v>
      </c>
      <c r="K57">
        <f t="shared" si="7"/>
        <v>1</v>
      </c>
      <c r="L57">
        <f t="shared" si="7"/>
        <v>1</v>
      </c>
    </row>
    <row r="58" spans="1:12" x14ac:dyDescent="0.3">
      <c r="A58" s="2">
        <v>46</v>
      </c>
      <c r="B58" s="3">
        <f t="shared" si="2"/>
        <v>1</v>
      </c>
      <c r="C58" s="3">
        <f t="shared" si="3"/>
        <v>1</v>
      </c>
      <c r="D58" s="3">
        <f t="shared" si="4"/>
        <v>1</v>
      </c>
      <c r="E58" s="1" t="str">
        <f t="shared" si="5"/>
        <v>Converged</v>
      </c>
      <c r="F58" s="8">
        <f t="shared" si="6"/>
        <v>0</v>
      </c>
      <c r="G58" s="8">
        <f t="shared" si="6"/>
        <v>0</v>
      </c>
      <c r="H58" s="8">
        <f t="shared" si="6"/>
        <v>0</v>
      </c>
      <c r="J58">
        <f t="shared" si="7"/>
        <v>1</v>
      </c>
      <c r="K58">
        <f t="shared" si="7"/>
        <v>1</v>
      </c>
      <c r="L58">
        <f t="shared" si="7"/>
        <v>1</v>
      </c>
    </row>
    <row r="59" spans="1:12" x14ac:dyDescent="0.3">
      <c r="A59" s="2">
        <v>47</v>
      </c>
      <c r="B59" s="3">
        <f t="shared" si="2"/>
        <v>1</v>
      </c>
      <c r="C59" s="3">
        <f t="shared" si="3"/>
        <v>1</v>
      </c>
      <c r="D59" s="3">
        <f t="shared" si="4"/>
        <v>1</v>
      </c>
      <c r="E59" s="1" t="str">
        <f t="shared" si="5"/>
        <v>Converged</v>
      </c>
      <c r="F59" s="8">
        <f t="shared" si="6"/>
        <v>0</v>
      </c>
      <c r="G59" s="8">
        <f t="shared" si="6"/>
        <v>0</v>
      </c>
      <c r="H59" s="8">
        <f t="shared" si="6"/>
        <v>0</v>
      </c>
      <c r="J59">
        <f t="shared" si="7"/>
        <v>1</v>
      </c>
      <c r="K59">
        <f t="shared" si="7"/>
        <v>1</v>
      </c>
      <c r="L59">
        <f t="shared" si="7"/>
        <v>1</v>
      </c>
    </row>
    <row r="60" spans="1:12" x14ac:dyDescent="0.3">
      <c r="A60" s="2">
        <v>48</v>
      </c>
      <c r="B60" s="3">
        <f t="shared" si="2"/>
        <v>1</v>
      </c>
      <c r="C60" s="3">
        <f t="shared" si="3"/>
        <v>1</v>
      </c>
      <c r="D60" s="3">
        <f t="shared" si="4"/>
        <v>1</v>
      </c>
      <c r="E60" s="1" t="str">
        <f t="shared" si="5"/>
        <v>Converged</v>
      </c>
      <c r="F60" s="8">
        <f t="shared" si="6"/>
        <v>0</v>
      </c>
      <c r="G60" s="8">
        <f t="shared" si="6"/>
        <v>0</v>
      </c>
      <c r="H60" s="8">
        <f t="shared" si="6"/>
        <v>0</v>
      </c>
      <c r="J60">
        <f t="shared" si="7"/>
        <v>1</v>
      </c>
      <c r="K60">
        <f t="shared" si="7"/>
        <v>1</v>
      </c>
      <c r="L60">
        <f t="shared" si="7"/>
        <v>1</v>
      </c>
    </row>
    <row r="61" spans="1:12" x14ac:dyDescent="0.3">
      <c r="A61" s="2">
        <v>49</v>
      </c>
      <c r="B61" s="3">
        <f t="shared" si="2"/>
        <v>1</v>
      </c>
      <c r="C61" s="3">
        <f t="shared" si="3"/>
        <v>1</v>
      </c>
      <c r="D61" s="3">
        <f t="shared" si="4"/>
        <v>1</v>
      </c>
      <c r="E61" s="1" t="str">
        <f t="shared" si="5"/>
        <v>Converged</v>
      </c>
      <c r="F61" s="8">
        <f t="shared" si="6"/>
        <v>0</v>
      </c>
      <c r="G61" s="8">
        <f t="shared" si="6"/>
        <v>0</v>
      </c>
      <c r="H61" s="8">
        <f t="shared" si="6"/>
        <v>0</v>
      </c>
      <c r="J61">
        <f t="shared" si="7"/>
        <v>1</v>
      </c>
      <c r="K61">
        <f t="shared" si="7"/>
        <v>1</v>
      </c>
      <c r="L61">
        <f t="shared" si="7"/>
        <v>1</v>
      </c>
    </row>
    <row r="62" spans="1:12" x14ac:dyDescent="0.3">
      <c r="A62" s="2">
        <v>50</v>
      </c>
      <c r="B62" s="3">
        <f t="shared" si="2"/>
        <v>1</v>
      </c>
      <c r="C62" s="3">
        <f t="shared" si="3"/>
        <v>1</v>
      </c>
      <c r="D62" s="3">
        <f t="shared" si="4"/>
        <v>1</v>
      </c>
      <c r="E62" s="1" t="str">
        <f t="shared" si="5"/>
        <v>Converged</v>
      </c>
      <c r="F62" s="8">
        <f t="shared" si="6"/>
        <v>0</v>
      </c>
      <c r="G62" s="8">
        <f t="shared" si="6"/>
        <v>0</v>
      </c>
      <c r="H62" s="8">
        <f t="shared" si="6"/>
        <v>0</v>
      </c>
      <c r="J62">
        <f t="shared" si="7"/>
        <v>1</v>
      </c>
      <c r="K62">
        <f t="shared" si="7"/>
        <v>1</v>
      </c>
      <c r="L62">
        <f t="shared" si="7"/>
        <v>1</v>
      </c>
    </row>
    <row r="63" spans="1:12" x14ac:dyDescent="0.3">
      <c r="A63" s="2">
        <v>51</v>
      </c>
      <c r="B63" s="3">
        <f t="shared" si="2"/>
        <v>1</v>
      </c>
      <c r="C63" s="3">
        <f t="shared" si="3"/>
        <v>1</v>
      </c>
      <c r="D63" s="3">
        <f t="shared" si="4"/>
        <v>1</v>
      </c>
      <c r="E63" s="1" t="str">
        <f t="shared" si="5"/>
        <v>Converged</v>
      </c>
      <c r="F63" s="8">
        <f t="shared" si="6"/>
        <v>0</v>
      </c>
      <c r="G63" s="8">
        <f t="shared" si="6"/>
        <v>0</v>
      </c>
      <c r="H63" s="8">
        <f t="shared" si="6"/>
        <v>0</v>
      </c>
      <c r="J63">
        <f t="shared" si="7"/>
        <v>1</v>
      </c>
      <c r="K63">
        <f t="shared" si="7"/>
        <v>1</v>
      </c>
      <c r="L63">
        <f t="shared" si="7"/>
        <v>1</v>
      </c>
    </row>
    <row r="64" spans="1:12" x14ac:dyDescent="0.3">
      <c r="A64" s="2">
        <v>52</v>
      </c>
      <c r="B64" s="3">
        <f t="shared" si="2"/>
        <v>1</v>
      </c>
      <c r="C64" s="3">
        <f t="shared" si="3"/>
        <v>1</v>
      </c>
      <c r="D64" s="3">
        <f t="shared" si="4"/>
        <v>1</v>
      </c>
      <c r="E64" s="1" t="str">
        <f t="shared" si="5"/>
        <v>Converged</v>
      </c>
      <c r="F64" s="8">
        <f t="shared" si="6"/>
        <v>0</v>
      </c>
      <c r="G64" s="8">
        <f t="shared" si="6"/>
        <v>0</v>
      </c>
      <c r="H64" s="8">
        <f t="shared" si="6"/>
        <v>0</v>
      </c>
      <c r="J64">
        <f t="shared" si="7"/>
        <v>1</v>
      </c>
      <c r="K64">
        <f t="shared" si="7"/>
        <v>1</v>
      </c>
      <c r="L64">
        <f t="shared" si="7"/>
        <v>1</v>
      </c>
    </row>
    <row r="65" spans="1:12" x14ac:dyDescent="0.3">
      <c r="A65" s="2">
        <v>53</v>
      </c>
      <c r="B65" s="3">
        <f t="shared" si="2"/>
        <v>1</v>
      </c>
      <c r="C65" s="3">
        <f t="shared" si="3"/>
        <v>1</v>
      </c>
      <c r="D65" s="3">
        <f t="shared" si="4"/>
        <v>1</v>
      </c>
      <c r="E65" s="1" t="str">
        <f t="shared" si="5"/>
        <v>Converged</v>
      </c>
      <c r="F65" s="8">
        <f t="shared" si="6"/>
        <v>0</v>
      </c>
      <c r="G65" s="8">
        <f t="shared" si="6"/>
        <v>0</v>
      </c>
      <c r="H65" s="8">
        <f t="shared" si="6"/>
        <v>0</v>
      </c>
      <c r="J65">
        <f t="shared" si="7"/>
        <v>1</v>
      </c>
      <c r="K65">
        <f t="shared" si="7"/>
        <v>1</v>
      </c>
      <c r="L65">
        <f t="shared" si="7"/>
        <v>1</v>
      </c>
    </row>
    <row r="66" spans="1:12" x14ac:dyDescent="0.3">
      <c r="A66" s="2">
        <v>54</v>
      </c>
      <c r="B66" s="3">
        <f t="shared" si="2"/>
        <v>1</v>
      </c>
      <c r="C66" s="3">
        <f t="shared" si="3"/>
        <v>1</v>
      </c>
      <c r="D66" s="3">
        <f t="shared" si="4"/>
        <v>1</v>
      </c>
      <c r="E66" s="1" t="str">
        <f t="shared" si="5"/>
        <v>Converged</v>
      </c>
      <c r="F66" s="8">
        <f t="shared" si="6"/>
        <v>0</v>
      </c>
      <c r="G66" s="8">
        <f t="shared" si="6"/>
        <v>0</v>
      </c>
      <c r="H66" s="8">
        <f t="shared" si="6"/>
        <v>0</v>
      </c>
      <c r="J66">
        <f t="shared" si="7"/>
        <v>1</v>
      </c>
      <c r="K66">
        <f t="shared" si="7"/>
        <v>1</v>
      </c>
      <c r="L66">
        <f t="shared" si="7"/>
        <v>1</v>
      </c>
    </row>
    <row r="67" spans="1:12" x14ac:dyDescent="0.3">
      <c r="A67" s="2">
        <v>55</v>
      </c>
      <c r="B67" s="3">
        <f t="shared" si="2"/>
        <v>1</v>
      </c>
      <c r="C67" s="3">
        <f t="shared" si="3"/>
        <v>1</v>
      </c>
      <c r="D67" s="3">
        <f t="shared" si="4"/>
        <v>1</v>
      </c>
      <c r="E67" s="1" t="str">
        <f t="shared" si="5"/>
        <v>Converged</v>
      </c>
      <c r="F67" s="8">
        <f t="shared" si="6"/>
        <v>0</v>
      </c>
      <c r="G67" s="8">
        <f t="shared" si="6"/>
        <v>0</v>
      </c>
      <c r="H67" s="8">
        <f t="shared" si="6"/>
        <v>0</v>
      </c>
      <c r="J67">
        <f t="shared" si="7"/>
        <v>1</v>
      </c>
      <c r="K67">
        <f t="shared" si="7"/>
        <v>1</v>
      </c>
      <c r="L67">
        <f t="shared" si="7"/>
        <v>1</v>
      </c>
    </row>
    <row r="68" spans="1:12" x14ac:dyDescent="0.3">
      <c r="A68" s="2">
        <v>56</v>
      </c>
      <c r="B68" s="3">
        <f t="shared" si="2"/>
        <v>1</v>
      </c>
      <c r="C68" s="3">
        <f t="shared" si="3"/>
        <v>1</v>
      </c>
      <c r="D68" s="3">
        <f t="shared" si="4"/>
        <v>1</v>
      </c>
      <c r="E68" s="1" t="str">
        <f t="shared" si="5"/>
        <v>Converged</v>
      </c>
      <c r="F68" s="8">
        <f t="shared" si="6"/>
        <v>0</v>
      </c>
      <c r="G68" s="8">
        <f t="shared" si="6"/>
        <v>0</v>
      </c>
      <c r="H68" s="8">
        <f t="shared" si="6"/>
        <v>0</v>
      </c>
      <c r="J68">
        <f t="shared" si="7"/>
        <v>1</v>
      </c>
      <c r="K68">
        <f t="shared" si="7"/>
        <v>1</v>
      </c>
      <c r="L68">
        <f t="shared" si="7"/>
        <v>1</v>
      </c>
    </row>
    <row r="69" spans="1:12" x14ac:dyDescent="0.3">
      <c r="A69" s="2">
        <v>57</v>
      </c>
      <c r="B69" s="3">
        <f t="shared" si="2"/>
        <v>1</v>
      </c>
      <c r="C69" s="3">
        <f t="shared" si="3"/>
        <v>1</v>
      </c>
      <c r="D69" s="3">
        <f t="shared" si="4"/>
        <v>1</v>
      </c>
      <c r="E69" s="1" t="str">
        <f t="shared" si="5"/>
        <v>Converged</v>
      </c>
      <c r="F69" s="8">
        <f t="shared" si="6"/>
        <v>0</v>
      </c>
      <c r="G69" s="8">
        <f t="shared" si="6"/>
        <v>0</v>
      </c>
      <c r="H69" s="8">
        <f t="shared" si="6"/>
        <v>0</v>
      </c>
      <c r="J69">
        <f t="shared" si="7"/>
        <v>1</v>
      </c>
      <c r="K69">
        <f t="shared" si="7"/>
        <v>1</v>
      </c>
      <c r="L69">
        <f t="shared" si="7"/>
        <v>1</v>
      </c>
    </row>
    <row r="70" spans="1:12" x14ac:dyDescent="0.3">
      <c r="A70" s="2">
        <v>58</v>
      </c>
      <c r="B70" s="3">
        <f t="shared" si="2"/>
        <v>1</v>
      </c>
      <c r="C70" s="3">
        <f t="shared" si="3"/>
        <v>1</v>
      </c>
      <c r="D70" s="3">
        <f t="shared" si="4"/>
        <v>1</v>
      </c>
      <c r="E70" s="1" t="str">
        <f t="shared" si="5"/>
        <v>Converged</v>
      </c>
      <c r="F70" s="8">
        <f t="shared" si="6"/>
        <v>0</v>
      </c>
      <c r="G70" s="8">
        <f t="shared" si="6"/>
        <v>0</v>
      </c>
      <c r="H70" s="8">
        <f t="shared" si="6"/>
        <v>0</v>
      </c>
      <c r="J70">
        <f t="shared" si="7"/>
        <v>1</v>
      </c>
      <c r="K70">
        <f t="shared" si="7"/>
        <v>1</v>
      </c>
      <c r="L70">
        <f t="shared" si="7"/>
        <v>1</v>
      </c>
    </row>
    <row r="71" spans="1:12" x14ac:dyDescent="0.3">
      <c r="A71" s="2">
        <v>59</v>
      </c>
      <c r="B71" s="3">
        <f t="shared" si="2"/>
        <v>1</v>
      </c>
      <c r="C71" s="3">
        <f t="shared" si="3"/>
        <v>1</v>
      </c>
      <c r="D71" s="3">
        <f t="shared" si="4"/>
        <v>1</v>
      </c>
      <c r="E71" s="1" t="str">
        <f t="shared" si="5"/>
        <v>Converged</v>
      </c>
      <c r="F71" s="8">
        <f t="shared" si="6"/>
        <v>0</v>
      </c>
      <c r="G71" s="8">
        <f t="shared" si="6"/>
        <v>0</v>
      </c>
      <c r="H71" s="8">
        <f t="shared" si="6"/>
        <v>0</v>
      </c>
      <c r="J71">
        <f t="shared" si="7"/>
        <v>1</v>
      </c>
      <c r="K71">
        <f t="shared" si="7"/>
        <v>1</v>
      </c>
      <c r="L71">
        <f t="shared" si="7"/>
        <v>1</v>
      </c>
    </row>
    <row r="72" spans="1:12" x14ac:dyDescent="0.3">
      <c r="A72" s="2">
        <v>60</v>
      </c>
      <c r="B72" s="3">
        <f t="shared" si="2"/>
        <v>1</v>
      </c>
      <c r="C72" s="3">
        <f t="shared" si="3"/>
        <v>1</v>
      </c>
      <c r="D72" s="3">
        <f t="shared" si="4"/>
        <v>1</v>
      </c>
      <c r="E72" s="1" t="str">
        <f t="shared" si="5"/>
        <v>Converged</v>
      </c>
      <c r="F72" s="8">
        <f t="shared" si="6"/>
        <v>0</v>
      </c>
      <c r="G72" s="8">
        <f t="shared" si="6"/>
        <v>0</v>
      </c>
      <c r="H72" s="8">
        <f t="shared" si="6"/>
        <v>0</v>
      </c>
      <c r="J72">
        <f t="shared" si="7"/>
        <v>1</v>
      </c>
      <c r="K72">
        <f t="shared" si="7"/>
        <v>1</v>
      </c>
      <c r="L72">
        <f t="shared" si="7"/>
        <v>1</v>
      </c>
    </row>
    <row r="73" spans="1:12" x14ac:dyDescent="0.3">
      <c r="A73" s="2">
        <v>61</v>
      </c>
      <c r="B73" s="3">
        <f t="shared" si="2"/>
        <v>1</v>
      </c>
      <c r="C73" s="3">
        <f t="shared" si="3"/>
        <v>1</v>
      </c>
      <c r="D73" s="3">
        <f t="shared" si="4"/>
        <v>1</v>
      </c>
      <c r="E73" s="1" t="str">
        <f t="shared" si="5"/>
        <v>Converged</v>
      </c>
      <c r="F73" s="8">
        <f t="shared" si="6"/>
        <v>0</v>
      </c>
      <c r="G73" s="8">
        <f t="shared" si="6"/>
        <v>0</v>
      </c>
      <c r="H73" s="8">
        <f t="shared" si="6"/>
        <v>0</v>
      </c>
      <c r="J73">
        <f t="shared" si="7"/>
        <v>1</v>
      </c>
      <c r="K73">
        <f t="shared" si="7"/>
        <v>1</v>
      </c>
      <c r="L73">
        <f t="shared" si="7"/>
        <v>1</v>
      </c>
    </row>
    <row r="74" spans="1:12" x14ac:dyDescent="0.3">
      <c r="A74" s="2">
        <v>62</v>
      </c>
      <c r="B74" s="3">
        <f t="shared" si="2"/>
        <v>1</v>
      </c>
      <c r="C74" s="3">
        <f t="shared" si="3"/>
        <v>1</v>
      </c>
      <c r="D74" s="3">
        <f t="shared" si="4"/>
        <v>1</v>
      </c>
      <c r="E74" s="1" t="str">
        <f t="shared" si="5"/>
        <v>Converged</v>
      </c>
      <c r="F74" s="8">
        <f t="shared" si="6"/>
        <v>0</v>
      </c>
      <c r="G74" s="8">
        <f t="shared" si="6"/>
        <v>0</v>
      </c>
      <c r="H74" s="8">
        <f t="shared" si="6"/>
        <v>0</v>
      </c>
      <c r="J74">
        <f t="shared" si="7"/>
        <v>1</v>
      </c>
      <c r="K74">
        <f t="shared" si="7"/>
        <v>1</v>
      </c>
      <c r="L74">
        <f t="shared" si="7"/>
        <v>1</v>
      </c>
    </row>
    <row r="75" spans="1:12" x14ac:dyDescent="0.3">
      <c r="A75" s="2">
        <v>63</v>
      </c>
      <c r="B75" s="3">
        <f t="shared" si="2"/>
        <v>1</v>
      </c>
      <c r="C75" s="3">
        <f t="shared" si="3"/>
        <v>1</v>
      </c>
      <c r="D75" s="3">
        <f t="shared" si="4"/>
        <v>1</v>
      </c>
      <c r="E75" s="1" t="str">
        <f t="shared" si="5"/>
        <v>Converged</v>
      </c>
      <c r="F75" s="8">
        <f t="shared" si="6"/>
        <v>0</v>
      </c>
      <c r="G75" s="8">
        <f t="shared" si="6"/>
        <v>0</v>
      </c>
      <c r="H75" s="8">
        <f t="shared" si="6"/>
        <v>0</v>
      </c>
      <c r="J75">
        <f t="shared" si="7"/>
        <v>1</v>
      </c>
      <c r="K75">
        <f t="shared" si="7"/>
        <v>1</v>
      </c>
      <c r="L75">
        <f t="shared" si="7"/>
        <v>1</v>
      </c>
    </row>
    <row r="76" spans="1:12" x14ac:dyDescent="0.3">
      <c r="A76" s="2">
        <v>64</v>
      </c>
      <c r="B76" s="3">
        <f t="shared" si="2"/>
        <v>1</v>
      </c>
      <c r="C76" s="3">
        <f t="shared" si="3"/>
        <v>1</v>
      </c>
      <c r="D76" s="3">
        <f t="shared" si="4"/>
        <v>1</v>
      </c>
      <c r="E76" s="1" t="str">
        <f t="shared" si="5"/>
        <v>Converged</v>
      </c>
      <c r="F76" s="8">
        <f t="shared" si="6"/>
        <v>0</v>
      </c>
      <c r="G76" s="8">
        <f t="shared" si="6"/>
        <v>0</v>
      </c>
      <c r="H76" s="8">
        <f t="shared" si="6"/>
        <v>0</v>
      </c>
      <c r="J76">
        <f t="shared" si="7"/>
        <v>1</v>
      </c>
      <c r="K76">
        <f t="shared" si="7"/>
        <v>1</v>
      </c>
      <c r="L76">
        <f t="shared" si="7"/>
        <v>1</v>
      </c>
    </row>
    <row r="77" spans="1:12" x14ac:dyDescent="0.3">
      <c r="A77" s="2">
        <v>65</v>
      </c>
      <c r="B77" s="3">
        <f t="shared" si="2"/>
        <v>1</v>
      </c>
      <c r="C77" s="3">
        <f t="shared" si="3"/>
        <v>1</v>
      </c>
      <c r="D77" s="3">
        <f t="shared" si="4"/>
        <v>1</v>
      </c>
      <c r="E77" s="1" t="str">
        <f t="shared" si="5"/>
        <v>Converged</v>
      </c>
      <c r="F77" s="8">
        <f t="shared" si="6"/>
        <v>0</v>
      </c>
      <c r="G77" s="8">
        <f t="shared" si="6"/>
        <v>0</v>
      </c>
      <c r="H77" s="8">
        <f t="shared" si="6"/>
        <v>0</v>
      </c>
      <c r="J77">
        <f t="shared" si="7"/>
        <v>1</v>
      </c>
      <c r="K77">
        <f t="shared" si="7"/>
        <v>1</v>
      </c>
      <c r="L77">
        <f t="shared" si="7"/>
        <v>1</v>
      </c>
    </row>
    <row r="78" spans="1:12" x14ac:dyDescent="0.3">
      <c r="A78" s="2">
        <v>66</v>
      </c>
      <c r="B78" s="3">
        <f t="shared" ref="B78:B141" si="8">1/8*(12-3*C77-1*D77)</f>
        <v>1</v>
      </c>
      <c r="C78" s="3">
        <f t="shared" ref="C78:C141" si="9">1/4*(5-2*B78+1*D77)</f>
        <v>1</v>
      </c>
      <c r="D78" s="3">
        <f t="shared" ref="D78:D141" si="10">1/7*(1+6*B78-0*C78)</f>
        <v>1</v>
      </c>
      <c r="E78" s="1" t="str">
        <f t="shared" ref="E78:E94" si="11">IF(SUM(F78:H78)&lt;$H$9,"Converged","-")</f>
        <v>Converged</v>
      </c>
      <c r="F78" s="8">
        <f t="shared" ref="F78:H94" si="12">ABS((B78-B77)/B78)*100</f>
        <v>0</v>
      </c>
      <c r="G78" s="8">
        <f t="shared" si="12"/>
        <v>0</v>
      </c>
      <c r="H78" s="8">
        <f t="shared" si="12"/>
        <v>0</v>
      </c>
      <c r="J78">
        <f t="shared" ref="J78:L94" si="13">IF(F78&lt;$H$9,1,0)</f>
        <v>1</v>
      </c>
      <c r="K78">
        <f t="shared" si="13"/>
        <v>1</v>
      </c>
      <c r="L78">
        <f t="shared" si="13"/>
        <v>1</v>
      </c>
    </row>
    <row r="79" spans="1:12" x14ac:dyDescent="0.3">
      <c r="A79" s="2">
        <v>67</v>
      </c>
      <c r="B79" s="3">
        <f t="shared" si="8"/>
        <v>1</v>
      </c>
      <c r="C79" s="3">
        <f t="shared" si="9"/>
        <v>1</v>
      </c>
      <c r="D79" s="3">
        <f t="shared" si="10"/>
        <v>1</v>
      </c>
      <c r="E79" s="1" t="str">
        <f t="shared" si="11"/>
        <v>Converged</v>
      </c>
      <c r="F79" s="8">
        <f t="shared" si="12"/>
        <v>0</v>
      </c>
      <c r="G79" s="8">
        <f t="shared" si="12"/>
        <v>0</v>
      </c>
      <c r="H79" s="8">
        <f t="shared" si="12"/>
        <v>0</v>
      </c>
      <c r="J79">
        <f t="shared" si="13"/>
        <v>1</v>
      </c>
      <c r="K79">
        <f t="shared" si="13"/>
        <v>1</v>
      </c>
      <c r="L79">
        <f t="shared" si="13"/>
        <v>1</v>
      </c>
    </row>
    <row r="80" spans="1:12" x14ac:dyDescent="0.3">
      <c r="A80" s="2">
        <v>68</v>
      </c>
      <c r="B80" s="3">
        <f t="shared" si="8"/>
        <v>1</v>
      </c>
      <c r="C80" s="3">
        <f t="shared" si="9"/>
        <v>1</v>
      </c>
      <c r="D80" s="3">
        <f t="shared" si="10"/>
        <v>1</v>
      </c>
      <c r="E80" s="1" t="str">
        <f t="shared" si="11"/>
        <v>Converged</v>
      </c>
      <c r="F80" s="8">
        <f t="shared" si="12"/>
        <v>0</v>
      </c>
      <c r="G80" s="8">
        <f t="shared" si="12"/>
        <v>0</v>
      </c>
      <c r="H80" s="8">
        <f t="shared" si="12"/>
        <v>0</v>
      </c>
      <c r="J80">
        <f t="shared" si="13"/>
        <v>1</v>
      </c>
      <c r="K80">
        <f t="shared" si="13"/>
        <v>1</v>
      </c>
      <c r="L80">
        <f t="shared" si="13"/>
        <v>1</v>
      </c>
    </row>
    <row r="81" spans="1:12" x14ac:dyDescent="0.3">
      <c r="A81" s="2">
        <v>69</v>
      </c>
      <c r="B81" s="3">
        <f t="shared" si="8"/>
        <v>1</v>
      </c>
      <c r="C81" s="3">
        <f t="shared" si="9"/>
        <v>1</v>
      </c>
      <c r="D81" s="3">
        <f t="shared" si="10"/>
        <v>1</v>
      </c>
      <c r="E81" s="1" t="str">
        <f t="shared" si="11"/>
        <v>Converged</v>
      </c>
      <c r="F81" s="8">
        <f t="shared" si="12"/>
        <v>0</v>
      </c>
      <c r="G81" s="8">
        <f t="shared" si="12"/>
        <v>0</v>
      </c>
      <c r="H81" s="8">
        <f t="shared" si="12"/>
        <v>0</v>
      </c>
      <c r="J81">
        <f t="shared" si="13"/>
        <v>1</v>
      </c>
      <c r="K81">
        <f t="shared" si="13"/>
        <v>1</v>
      </c>
      <c r="L81">
        <f t="shared" si="13"/>
        <v>1</v>
      </c>
    </row>
    <row r="82" spans="1:12" x14ac:dyDescent="0.3">
      <c r="A82" s="2">
        <v>70</v>
      </c>
      <c r="B82" s="3">
        <f t="shared" si="8"/>
        <v>1</v>
      </c>
      <c r="C82" s="3">
        <f t="shared" si="9"/>
        <v>1</v>
      </c>
      <c r="D82" s="3">
        <f t="shared" si="10"/>
        <v>1</v>
      </c>
      <c r="E82" s="1" t="str">
        <f t="shared" si="11"/>
        <v>Converged</v>
      </c>
      <c r="F82" s="8">
        <f t="shared" si="12"/>
        <v>0</v>
      </c>
      <c r="G82" s="8">
        <f t="shared" si="12"/>
        <v>0</v>
      </c>
      <c r="H82" s="8">
        <f t="shared" si="12"/>
        <v>0</v>
      </c>
      <c r="J82">
        <f t="shared" si="13"/>
        <v>1</v>
      </c>
      <c r="K82">
        <f t="shared" si="13"/>
        <v>1</v>
      </c>
      <c r="L82">
        <f t="shared" si="13"/>
        <v>1</v>
      </c>
    </row>
    <row r="83" spans="1:12" x14ac:dyDescent="0.3">
      <c r="A83" s="2">
        <v>71</v>
      </c>
      <c r="B83" s="3">
        <f t="shared" si="8"/>
        <v>1</v>
      </c>
      <c r="C83" s="3">
        <f t="shared" si="9"/>
        <v>1</v>
      </c>
      <c r="D83" s="3">
        <f t="shared" si="10"/>
        <v>1</v>
      </c>
      <c r="E83" s="1" t="str">
        <f t="shared" si="11"/>
        <v>Converged</v>
      </c>
      <c r="F83" s="8">
        <f t="shared" si="12"/>
        <v>0</v>
      </c>
      <c r="G83" s="8">
        <f t="shared" si="12"/>
        <v>0</v>
      </c>
      <c r="H83" s="8">
        <f t="shared" si="12"/>
        <v>0</v>
      </c>
      <c r="J83">
        <f t="shared" si="13"/>
        <v>1</v>
      </c>
      <c r="K83">
        <f t="shared" si="13"/>
        <v>1</v>
      </c>
      <c r="L83">
        <f t="shared" si="13"/>
        <v>1</v>
      </c>
    </row>
    <row r="84" spans="1:12" x14ac:dyDescent="0.3">
      <c r="A84" s="2">
        <v>72</v>
      </c>
      <c r="B84" s="3">
        <f t="shared" si="8"/>
        <v>1</v>
      </c>
      <c r="C84" s="3">
        <f t="shared" si="9"/>
        <v>1</v>
      </c>
      <c r="D84" s="3">
        <f t="shared" si="10"/>
        <v>1</v>
      </c>
      <c r="E84" s="1" t="str">
        <f t="shared" si="11"/>
        <v>Converged</v>
      </c>
      <c r="F84" s="8">
        <f t="shared" si="12"/>
        <v>0</v>
      </c>
      <c r="G84" s="8">
        <f t="shared" si="12"/>
        <v>0</v>
      </c>
      <c r="H84" s="8">
        <f t="shared" si="12"/>
        <v>0</v>
      </c>
      <c r="J84">
        <f t="shared" si="13"/>
        <v>1</v>
      </c>
      <c r="K84">
        <f t="shared" si="13"/>
        <v>1</v>
      </c>
      <c r="L84">
        <f t="shared" si="13"/>
        <v>1</v>
      </c>
    </row>
    <row r="85" spans="1:12" x14ac:dyDescent="0.3">
      <c r="A85" s="2">
        <v>73</v>
      </c>
      <c r="B85" s="3">
        <f t="shared" si="8"/>
        <v>1</v>
      </c>
      <c r="C85" s="3">
        <f t="shared" si="9"/>
        <v>1</v>
      </c>
      <c r="D85" s="3">
        <f t="shared" si="10"/>
        <v>1</v>
      </c>
      <c r="E85" s="1" t="str">
        <f t="shared" si="11"/>
        <v>Converged</v>
      </c>
      <c r="F85" s="8">
        <f t="shared" si="12"/>
        <v>0</v>
      </c>
      <c r="G85" s="8">
        <f t="shared" si="12"/>
        <v>0</v>
      </c>
      <c r="H85" s="8">
        <f t="shared" si="12"/>
        <v>0</v>
      </c>
      <c r="J85">
        <f t="shared" si="13"/>
        <v>1</v>
      </c>
      <c r="K85">
        <f t="shared" si="13"/>
        <v>1</v>
      </c>
      <c r="L85">
        <f t="shared" si="13"/>
        <v>1</v>
      </c>
    </row>
    <row r="86" spans="1:12" x14ac:dyDescent="0.3">
      <c r="A86" s="2">
        <v>74</v>
      </c>
      <c r="B86" s="3">
        <f t="shared" si="8"/>
        <v>1</v>
      </c>
      <c r="C86" s="3">
        <f t="shared" si="9"/>
        <v>1</v>
      </c>
      <c r="D86" s="3">
        <f t="shared" si="10"/>
        <v>1</v>
      </c>
      <c r="E86" s="1" t="str">
        <f t="shared" si="11"/>
        <v>Converged</v>
      </c>
      <c r="F86" s="8">
        <f t="shared" si="12"/>
        <v>0</v>
      </c>
      <c r="G86" s="8">
        <f t="shared" si="12"/>
        <v>0</v>
      </c>
      <c r="H86" s="8">
        <f t="shared" si="12"/>
        <v>0</v>
      </c>
      <c r="J86">
        <f t="shared" si="13"/>
        <v>1</v>
      </c>
      <c r="K86">
        <f t="shared" si="13"/>
        <v>1</v>
      </c>
      <c r="L86">
        <f t="shared" si="13"/>
        <v>1</v>
      </c>
    </row>
    <row r="87" spans="1:12" x14ac:dyDescent="0.3">
      <c r="A87" s="2">
        <v>75</v>
      </c>
      <c r="B87" s="3">
        <f t="shared" si="8"/>
        <v>1</v>
      </c>
      <c r="C87" s="3">
        <f t="shared" si="9"/>
        <v>1</v>
      </c>
      <c r="D87" s="3">
        <f t="shared" si="10"/>
        <v>1</v>
      </c>
      <c r="E87" s="1" t="str">
        <f t="shared" si="11"/>
        <v>Converged</v>
      </c>
      <c r="F87" s="8">
        <f t="shared" si="12"/>
        <v>0</v>
      </c>
      <c r="G87" s="8">
        <f t="shared" si="12"/>
        <v>0</v>
      </c>
      <c r="H87" s="8">
        <f t="shared" si="12"/>
        <v>0</v>
      </c>
      <c r="J87">
        <f t="shared" si="13"/>
        <v>1</v>
      </c>
      <c r="K87">
        <f t="shared" si="13"/>
        <v>1</v>
      </c>
      <c r="L87">
        <f t="shared" si="13"/>
        <v>1</v>
      </c>
    </row>
    <row r="88" spans="1:12" x14ac:dyDescent="0.3">
      <c r="A88" s="2">
        <v>76</v>
      </c>
      <c r="B88" s="3">
        <f t="shared" si="8"/>
        <v>1</v>
      </c>
      <c r="C88" s="3">
        <f t="shared" si="9"/>
        <v>1</v>
      </c>
      <c r="D88" s="3">
        <f t="shared" si="10"/>
        <v>1</v>
      </c>
      <c r="E88" s="1" t="str">
        <f t="shared" si="11"/>
        <v>Converged</v>
      </c>
      <c r="F88" s="8">
        <f t="shared" si="12"/>
        <v>0</v>
      </c>
      <c r="G88" s="8">
        <f t="shared" si="12"/>
        <v>0</v>
      </c>
      <c r="H88" s="8">
        <f t="shared" si="12"/>
        <v>0</v>
      </c>
      <c r="J88">
        <f t="shared" si="13"/>
        <v>1</v>
      </c>
      <c r="K88">
        <f t="shared" si="13"/>
        <v>1</v>
      </c>
      <c r="L88">
        <f t="shared" si="13"/>
        <v>1</v>
      </c>
    </row>
    <row r="89" spans="1:12" x14ac:dyDescent="0.3">
      <c r="A89" s="2">
        <v>77</v>
      </c>
      <c r="B89" s="3">
        <f t="shared" si="8"/>
        <v>1</v>
      </c>
      <c r="C89" s="3">
        <f t="shared" si="9"/>
        <v>1</v>
      </c>
      <c r="D89" s="3">
        <f t="shared" si="10"/>
        <v>1</v>
      </c>
      <c r="E89" s="1" t="str">
        <f t="shared" si="11"/>
        <v>Converged</v>
      </c>
      <c r="F89" s="8">
        <f t="shared" si="12"/>
        <v>0</v>
      </c>
      <c r="G89" s="8">
        <f t="shared" si="12"/>
        <v>0</v>
      </c>
      <c r="H89" s="8">
        <f t="shared" si="12"/>
        <v>0</v>
      </c>
      <c r="J89">
        <f t="shared" si="13"/>
        <v>1</v>
      </c>
      <c r="K89">
        <f t="shared" si="13"/>
        <v>1</v>
      </c>
      <c r="L89">
        <f t="shared" si="13"/>
        <v>1</v>
      </c>
    </row>
    <row r="90" spans="1:12" x14ac:dyDescent="0.3">
      <c r="A90" s="2">
        <v>78</v>
      </c>
      <c r="B90" s="3">
        <f t="shared" si="8"/>
        <v>1</v>
      </c>
      <c r="C90" s="3">
        <f t="shared" si="9"/>
        <v>1</v>
      </c>
      <c r="D90" s="3">
        <f t="shared" si="10"/>
        <v>1</v>
      </c>
      <c r="E90" s="1" t="str">
        <f t="shared" si="11"/>
        <v>Converged</v>
      </c>
      <c r="F90" s="8">
        <f t="shared" si="12"/>
        <v>0</v>
      </c>
      <c r="G90" s="8">
        <f t="shared" si="12"/>
        <v>0</v>
      </c>
      <c r="H90" s="8">
        <f t="shared" si="12"/>
        <v>0</v>
      </c>
      <c r="J90">
        <f t="shared" si="13"/>
        <v>1</v>
      </c>
      <c r="K90">
        <f t="shared" si="13"/>
        <v>1</v>
      </c>
      <c r="L90">
        <f t="shared" si="13"/>
        <v>1</v>
      </c>
    </row>
    <row r="91" spans="1:12" x14ac:dyDescent="0.3">
      <c r="A91" s="2">
        <v>79</v>
      </c>
      <c r="B91" s="3">
        <f t="shared" si="8"/>
        <v>1</v>
      </c>
      <c r="C91" s="3">
        <f t="shared" si="9"/>
        <v>1</v>
      </c>
      <c r="D91" s="3">
        <f t="shared" si="10"/>
        <v>1</v>
      </c>
      <c r="E91" s="1" t="str">
        <f t="shared" si="11"/>
        <v>Converged</v>
      </c>
      <c r="F91" s="8">
        <f t="shared" si="12"/>
        <v>0</v>
      </c>
      <c r="G91" s="8">
        <f t="shared" si="12"/>
        <v>0</v>
      </c>
      <c r="H91" s="8">
        <f t="shared" si="12"/>
        <v>0</v>
      </c>
      <c r="J91">
        <f t="shared" si="13"/>
        <v>1</v>
      </c>
      <c r="K91">
        <f t="shared" si="13"/>
        <v>1</v>
      </c>
      <c r="L91">
        <f t="shared" si="13"/>
        <v>1</v>
      </c>
    </row>
    <row r="92" spans="1:12" x14ac:dyDescent="0.3">
      <c r="A92" s="2">
        <v>80</v>
      </c>
      <c r="B92" s="3">
        <f t="shared" si="8"/>
        <v>1</v>
      </c>
      <c r="C92" s="3">
        <f t="shared" si="9"/>
        <v>1</v>
      </c>
      <c r="D92" s="3">
        <f t="shared" si="10"/>
        <v>1</v>
      </c>
      <c r="E92" s="1" t="str">
        <f t="shared" si="11"/>
        <v>Converged</v>
      </c>
      <c r="F92" s="8">
        <f t="shared" si="12"/>
        <v>0</v>
      </c>
      <c r="G92" s="8">
        <f t="shared" si="12"/>
        <v>0</v>
      </c>
      <c r="H92" s="8">
        <f t="shared" si="12"/>
        <v>0</v>
      </c>
      <c r="J92">
        <f t="shared" si="13"/>
        <v>1</v>
      </c>
      <c r="K92">
        <f t="shared" si="13"/>
        <v>1</v>
      </c>
      <c r="L92">
        <f t="shared" si="13"/>
        <v>1</v>
      </c>
    </row>
    <row r="93" spans="1:12" x14ac:dyDescent="0.3">
      <c r="A93" s="2">
        <v>81</v>
      </c>
      <c r="B93" s="3">
        <f t="shared" si="8"/>
        <v>1</v>
      </c>
      <c r="C93" s="3">
        <f t="shared" si="9"/>
        <v>1</v>
      </c>
      <c r="D93" s="3">
        <f t="shared" si="10"/>
        <v>1</v>
      </c>
      <c r="E93" s="1" t="str">
        <f t="shared" si="11"/>
        <v>Converged</v>
      </c>
      <c r="F93" s="8">
        <f t="shared" si="12"/>
        <v>0</v>
      </c>
      <c r="G93" s="8">
        <f t="shared" si="12"/>
        <v>0</v>
      </c>
      <c r="H93" s="8">
        <f t="shared" si="12"/>
        <v>0</v>
      </c>
      <c r="J93">
        <f t="shared" si="13"/>
        <v>1</v>
      </c>
      <c r="K93">
        <f t="shared" si="13"/>
        <v>1</v>
      </c>
      <c r="L93">
        <f t="shared" si="13"/>
        <v>1</v>
      </c>
    </row>
    <row r="94" spans="1:12" x14ac:dyDescent="0.3">
      <c r="A94" s="2">
        <v>82</v>
      </c>
      <c r="B94" s="3">
        <f t="shared" si="8"/>
        <v>1</v>
      </c>
      <c r="C94" s="3">
        <f t="shared" si="9"/>
        <v>1</v>
      </c>
      <c r="D94" s="3">
        <f t="shared" si="10"/>
        <v>1</v>
      </c>
      <c r="E94" s="1" t="str">
        <f t="shared" si="11"/>
        <v>Converged</v>
      </c>
      <c r="F94" s="8">
        <f t="shared" si="12"/>
        <v>0</v>
      </c>
      <c r="G94" s="8">
        <f t="shared" si="12"/>
        <v>0</v>
      </c>
      <c r="H94" s="8">
        <f t="shared" si="12"/>
        <v>0</v>
      </c>
      <c r="J94">
        <f t="shared" si="13"/>
        <v>1</v>
      </c>
      <c r="K94">
        <f t="shared" si="13"/>
        <v>1</v>
      </c>
      <c r="L94">
        <f t="shared" si="13"/>
        <v>1</v>
      </c>
    </row>
    <row r="95" spans="1:12" x14ac:dyDescent="0.3">
      <c r="A95" s="2">
        <v>83</v>
      </c>
      <c r="B95" s="3">
        <f t="shared" si="8"/>
        <v>1</v>
      </c>
      <c r="C95" s="3">
        <f t="shared" si="9"/>
        <v>1</v>
      </c>
      <c r="D95" s="3">
        <f t="shared" si="10"/>
        <v>1</v>
      </c>
    </row>
    <row r="96" spans="1:12" x14ac:dyDescent="0.3">
      <c r="A96" s="2">
        <v>84</v>
      </c>
      <c r="B96" s="3">
        <f t="shared" si="8"/>
        <v>1</v>
      </c>
      <c r="C96" s="3">
        <f t="shared" si="9"/>
        <v>1</v>
      </c>
      <c r="D96" s="3">
        <f t="shared" si="10"/>
        <v>1</v>
      </c>
    </row>
    <row r="97" spans="1:4" x14ac:dyDescent="0.3">
      <c r="A97" s="2">
        <v>85</v>
      </c>
      <c r="B97" s="3">
        <f t="shared" si="8"/>
        <v>1</v>
      </c>
      <c r="C97" s="3">
        <f t="shared" si="9"/>
        <v>1</v>
      </c>
      <c r="D97" s="3">
        <f t="shared" si="10"/>
        <v>1</v>
      </c>
    </row>
    <row r="98" spans="1:4" x14ac:dyDescent="0.3">
      <c r="A98" s="2">
        <v>86</v>
      </c>
      <c r="B98" s="3">
        <f t="shared" si="8"/>
        <v>1</v>
      </c>
      <c r="C98" s="3">
        <f t="shared" si="9"/>
        <v>1</v>
      </c>
      <c r="D98" s="3">
        <f t="shared" si="10"/>
        <v>1</v>
      </c>
    </row>
    <row r="99" spans="1:4" x14ac:dyDescent="0.3">
      <c r="A99" s="2">
        <v>87</v>
      </c>
      <c r="B99" s="3">
        <f t="shared" si="8"/>
        <v>1</v>
      </c>
      <c r="C99" s="3">
        <f t="shared" si="9"/>
        <v>1</v>
      </c>
      <c r="D99" s="3">
        <f t="shared" si="10"/>
        <v>1</v>
      </c>
    </row>
    <row r="100" spans="1:4" x14ac:dyDescent="0.3">
      <c r="A100" s="2">
        <v>88</v>
      </c>
      <c r="B100" s="3">
        <f t="shared" si="8"/>
        <v>1</v>
      </c>
      <c r="C100" s="3">
        <f t="shared" si="9"/>
        <v>1</v>
      </c>
      <c r="D100" s="3">
        <f t="shared" si="10"/>
        <v>1</v>
      </c>
    </row>
    <row r="101" spans="1:4" x14ac:dyDescent="0.3">
      <c r="A101" s="2">
        <v>89</v>
      </c>
      <c r="B101" s="3">
        <f t="shared" si="8"/>
        <v>1</v>
      </c>
      <c r="C101" s="3">
        <f t="shared" si="9"/>
        <v>1</v>
      </c>
      <c r="D101" s="3">
        <f t="shared" si="10"/>
        <v>1</v>
      </c>
    </row>
    <row r="102" spans="1:4" x14ac:dyDescent="0.3">
      <c r="A102" s="2">
        <v>90</v>
      </c>
      <c r="B102" s="3">
        <f t="shared" si="8"/>
        <v>1</v>
      </c>
      <c r="C102" s="3">
        <f t="shared" si="9"/>
        <v>1</v>
      </c>
      <c r="D102" s="3">
        <f t="shared" si="10"/>
        <v>1</v>
      </c>
    </row>
    <row r="103" spans="1:4" x14ac:dyDescent="0.3">
      <c r="A103" s="2">
        <v>91</v>
      </c>
      <c r="B103" s="3">
        <f t="shared" si="8"/>
        <v>1</v>
      </c>
      <c r="C103" s="3">
        <f t="shared" si="9"/>
        <v>1</v>
      </c>
      <c r="D103" s="3">
        <f t="shared" si="10"/>
        <v>1</v>
      </c>
    </row>
    <row r="104" spans="1:4" x14ac:dyDescent="0.3">
      <c r="A104" s="2">
        <v>92</v>
      </c>
      <c r="B104" s="3">
        <f t="shared" si="8"/>
        <v>1</v>
      </c>
      <c r="C104" s="3">
        <f t="shared" si="9"/>
        <v>1</v>
      </c>
      <c r="D104" s="3">
        <f t="shared" si="10"/>
        <v>1</v>
      </c>
    </row>
    <row r="105" spans="1:4" x14ac:dyDescent="0.3">
      <c r="A105" s="2">
        <v>93</v>
      </c>
      <c r="B105" s="3">
        <f t="shared" si="8"/>
        <v>1</v>
      </c>
      <c r="C105" s="3">
        <f t="shared" si="9"/>
        <v>1</v>
      </c>
      <c r="D105" s="3">
        <f t="shared" si="10"/>
        <v>1</v>
      </c>
    </row>
    <row r="106" spans="1:4" x14ac:dyDescent="0.3">
      <c r="A106" s="2">
        <v>94</v>
      </c>
      <c r="B106" s="3">
        <f t="shared" si="8"/>
        <v>1</v>
      </c>
      <c r="C106" s="3">
        <f t="shared" si="9"/>
        <v>1</v>
      </c>
      <c r="D106" s="3">
        <f t="shared" si="10"/>
        <v>1</v>
      </c>
    </row>
    <row r="107" spans="1:4" x14ac:dyDescent="0.3">
      <c r="A107" s="2">
        <v>95</v>
      </c>
      <c r="B107" s="3">
        <f t="shared" si="8"/>
        <v>1</v>
      </c>
      <c r="C107" s="3">
        <f t="shared" si="9"/>
        <v>1</v>
      </c>
      <c r="D107" s="3">
        <f t="shared" si="10"/>
        <v>1</v>
      </c>
    </row>
    <row r="108" spans="1:4" x14ac:dyDescent="0.3">
      <c r="A108" s="2">
        <v>96</v>
      </c>
      <c r="B108" s="3">
        <f t="shared" si="8"/>
        <v>1</v>
      </c>
      <c r="C108" s="3">
        <f t="shared" si="9"/>
        <v>1</v>
      </c>
      <c r="D108" s="3">
        <f t="shared" si="10"/>
        <v>1</v>
      </c>
    </row>
    <row r="109" spans="1:4" x14ac:dyDescent="0.3">
      <c r="A109" s="2">
        <v>97</v>
      </c>
      <c r="B109" s="3">
        <f t="shared" si="8"/>
        <v>1</v>
      </c>
      <c r="C109" s="3">
        <f t="shared" si="9"/>
        <v>1</v>
      </c>
      <c r="D109" s="3">
        <f t="shared" si="10"/>
        <v>1</v>
      </c>
    </row>
    <row r="110" spans="1:4" x14ac:dyDescent="0.3">
      <c r="A110" s="2">
        <v>98</v>
      </c>
      <c r="B110" s="3">
        <f t="shared" si="8"/>
        <v>1</v>
      </c>
      <c r="C110" s="3">
        <f t="shared" si="9"/>
        <v>1</v>
      </c>
      <c r="D110" s="3">
        <f t="shared" si="10"/>
        <v>1</v>
      </c>
    </row>
    <row r="111" spans="1:4" x14ac:dyDescent="0.3">
      <c r="A111" s="2">
        <v>99</v>
      </c>
      <c r="B111" s="3">
        <f t="shared" si="8"/>
        <v>1</v>
      </c>
      <c r="C111" s="3">
        <f t="shared" si="9"/>
        <v>1</v>
      </c>
      <c r="D111" s="3">
        <f t="shared" si="10"/>
        <v>1</v>
      </c>
    </row>
    <row r="112" spans="1:4" x14ac:dyDescent="0.3">
      <c r="A112" s="2">
        <v>100</v>
      </c>
      <c r="B112" s="3">
        <f t="shared" si="8"/>
        <v>1</v>
      </c>
      <c r="C112" s="3">
        <f t="shared" si="9"/>
        <v>1</v>
      </c>
      <c r="D112" s="3">
        <f t="shared" si="10"/>
        <v>1</v>
      </c>
    </row>
    <row r="113" spans="1:4" x14ac:dyDescent="0.3">
      <c r="A113" s="2">
        <v>101</v>
      </c>
      <c r="B113" s="3">
        <f t="shared" si="8"/>
        <v>1</v>
      </c>
      <c r="C113" s="3">
        <f t="shared" si="9"/>
        <v>1</v>
      </c>
      <c r="D113" s="3">
        <f t="shared" si="10"/>
        <v>1</v>
      </c>
    </row>
    <row r="114" spans="1:4" x14ac:dyDescent="0.3">
      <c r="A114" s="2">
        <v>102</v>
      </c>
      <c r="B114" s="3">
        <f t="shared" si="8"/>
        <v>1</v>
      </c>
      <c r="C114" s="3">
        <f t="shared" si="9"/>
        <v>1</v>
      </c>
      <c r="D114" s="3">
        <f t="shared" si="10"/>
        <v>1</v>
      </c>
    </row>
    <row r="115" spans="1:4" x14ac:dyDescent="0.3">
      <c r="A115" s="2">
        <v>103</v>
      </c>
      <c r="B115" s="3">
        <f t="shared" si="8"/>
        <v>1</v>
      </c>
      <c r="C115" s="3">
        <f t="shared" si="9"/>
        <v>1</v>
      </c>
      <c r="D115" s="3">
        <f t="shared" si="10"/>
        <v>1</v>
      </c>
    </row>
    <row r="116" spans="1:4" x14ac:dyDescent="0.3">
      <c r="A116" s="2">
        <v>104</v>
      </c>
      <c r="B116" s="3">
        <f t="shared" si="8"/>
        <v>1</v>
      </c>
      <c r="C116" s="3">
        <f t="shared" si="9"/>
        <v>1</v>
      </c>
      <c r="D116" s="3">
        <f t="shared" si="10"/>
        <v>1</v>
      </c>
    </row>
    <row r="117" spans="1:4" x14ac:dyDescent="0.3">
      <c r="A117" s="2">
        <v>105</v>
      </c>
      <c r="B117" s="3">
        <f t="shared" si="8"/>
        <v>1</v>
      </c>
      <c r="C117" s="3">
        <f t="shared" si="9"/>
        <v>1</v>
      </c>
      <c r="D117" s="3">
        <f t="shared" si="10"/>
        <v>1</v>
      </c>
    </row>
    <row r="118" spans="1:4" x14ac:dyDescent="0.3">
      <c r="A118" s="2">
        <v>106</v>
      </c>
      <c r="B118" s="3">
        <f t="shared" si="8"/>
        <v>1</v>
      </c>
      <c r="C118" s="3">
        <f t="shared" si="9"/>
        <v>1</v>
      </c>
      <c r="D118" s="3">
        <f t="shared" si="10"/>
        <v>1</v>
      </c>
    </row>
    <row r="119" spans="1:4" x14ac:dyDescent="0.3">
      <c r="A119" s="2">
        <v>107</v>
      </c>
      <c r="B119" s="3">
        <f t="shared" si="8"/>
        <v>1</v>
      </c>
      <c r="C119" s="3">
        <f t="shared" si="9"/>
        <v>1</v>
      </c>
      <c r="D119" s="3">
        <f t="shared" si="10"/>
        <v>1</v>
      </c>
    </row>
    <row r="120" spans="1:4" x14ac:dyDescent="0.3">
      <c r="A120" s="2">
        <v>108</v>
      </c>
      <c r="B120" s="3">
        <f t="shared" si="8"/>
        <v>1</v>
      </c>
      <c r="C120" s="3">
        <f t="shared" si="9"/>
        <v>1</v>
      </c>
      <c r="D120" s="3">
        <f t="shared" si="10"/>
        <v>1</v>
      </c>
    </row>
    <row r="121" spans="1:4" x14ac:dyDescent="0.3">
      <c r="A121" s="2">
        <v>109</v>
      </c>
      <c r="B121" s="3">
        <f t="shared" si="8"/>
        <v>1</v>
      </c>
      <c r="C121" s="3">
        <f t="shared" si="9"/>
        <v>1</v>
      </c>
      <c r="D121" s="3">
        <f t="shared" si="10"/>
        <v>1</v>
      </c>
    </row>
    <row r="122" spans="1:4" x14ac:dyDescent="0.3">
      <c r="A122" s="2">
        <v>110</v>
      </c>
      <c r="B122" s="3">
        <f t="shared" si="8"/>
        <v>1</v>
      </c>
      <c r="C122" s="3">
        <f t="shared" si="9"/>
        <v>1</v>
      </c>
      <c r="D122" s="3">
        <f t="shared" si="10"/>
        <v>1</v>
      </c>
    </row>
    <row r="123" spans="1:4" x14ac:dyDescent="0.3">
      <c r="A123" s="2">
        <v>111</v>
      </c>
      <c r="B123" s="3">
        <f t="shared" si="8"/>
        <v>1</v>
      </c>
      <c r="C123" s="3">
        <f t="shared" si="9"/>
        <v>1</v>
      </c>
      <c r="D123" s="3">
        <f t="shared" si="10"/>
        <v>1</v>
      </c>
    </row>
    <row r="124" spans="1:4" x14ac:dyDescent="0.3">
      <c r="A124" s="2">
        <v>112</v>
      </c>
      <c r="B124" s="3">
        <f t="shared" si="8"/>
        <v>1</v>
      </c>
      <c r="C124" s="3">
        <f t="shared" si="9"/>
        <v>1</v>
      </c>
      <c r="D124" s="3">
        <f t="shared" si="10"/>
        <v>1</v>
      </c>
    </row>
    <row r="125" spans="1:4" x14ac:dyDescent="0.3">
      <c r="A125" s="2">
        <v>113</v>
      </c>
      <c r="B125" s="3">
        <f t="shared" si="8"/>
        <v>1</v>
      </c>
      <c r="C125" s="3">
        <f t="shared" si="9"/>
        <v>1</v>
      </c>
      <c r="D125" s="3">
        <f t="shared" si="10"/>
        <v>1</v>
      </c>
    </row>
    <row r="126" spans="1:4" x14ac:dyDescent="0.3">
      <c r="A126" s="2">
        <v>114</v>
      </c>
      <c r="B126" s="3">
        <f t="shared" si="8"/>
        <v>1</v>
      </c>
      <c r="C126" s="3">
        <f t="shared" si="9"/>
        <v>1</v>
      </c>
      <c r="D126" s="3">
        <f t="shared" si="10"/>
        <v>1</v>
      </c>
    </row>
    <row r="127" spans="1:4" x14ac:dyDescent="0.3">
      <c r="A127" s="2">
        <v>115</v>
      </c>
      <c r="B127" s="3">
        <f t="shared" si="8"/>
        <v>1</v>
      </c>
      <c r="C127" s="3">
        <f t="shared" si="9"/>
        <v>1</v>
      </c>
      <c r="D127" s="3">
        <f t="shared" si="10"/>
        <v>1</v>
      </c>
    </row>
    <row r="128" spans="1:4" x14ac:dyDescent="0.3">
      <c r="A128" s="2">
        <v>116</v>
      </c>
      <c r="B128" s="3">
        <f t="shared" si="8"/>
        <v>1</v>
      </c>
      <c r="C128" s="3">
        <f t="shared" si="9"/>
        <v>1</v>
      </c>
      <c r="D128" s="3">
        <f t="shared" si="10"/>
        <v>1</v>
      </c>
    </row>
    <row r="129" spans="1:4" x14ac:dyDescent="0.3">
      <c r="A129" s="2">
        <v>117</v>
      </c>
      <c r="B129" s="3">
        <f t="shared" si="8"/>
        <v>1</v>
      </c>
      <c r="C129" s="3">
        <f t="shared" si="9"/>
        <v>1</v>
      </c>
      <c r="D129" s="3">
        <f t="shared" si="10"/>
        <v>1</v>
      </c>
    </row>
    <row r="130" spans="1:4" x14ac:dyDescent="0.3">
      <c r="A130" s="2">
        <v>118</v>
      </c>
      <c r="B130" s="3">
        <f t="shared" si="8"/>
        <v>1</v>
      </c>
      <c r="C130" s="3">
        <f t="shared" si="9"/>
        <v>1</v>
      </c>
      <c r="D130" s="3">
        <f t="shared" si="10"/>
        <v>1</v>
      </c>
    </row>
    <row r="131" spans="1:4" x14ac:dyDescent="0.3">
      <c r="A131" s="2">
        <v>119</v>
      </c>
      <c r="B131" s="3">
        <f t="shared" si="8"/>
        <v>1</v>
      </c>
      <c r="C131" s="3">
        <f t="shared" si="9"/>
        <v>1</v>
      </c>
      <c r="D131" s="3">
        <f t="shared" si="10"/>
        <v>1</v>
      </c>
    </row>
    <row r="132" spans="1:4" x14ac:dyDescent="0.3">
      <c r="A132" s="2">
        <v>120</v>
      </c>
      <c r="B132" s="3">
        <f t="shared" si="8"/>
        <v>1</v>
      </c>
      <c r="C132" s="3">
        <f t="shared" si="9"/>
        <v>1</v>
      </c>
      <c r="D132" s="3">
        <f t="shared" si="10"/>
        <v>1</v>
      </c>
    </row>
    <row r="133" spans="1:4" x14ac:dyDescent="0.3">
      <c r="A133" s="2">
        <v>121</v>
      </c>
      <c r="B133" s="3">
        <f t="shared" si="8"/>
        <v>1</v>
      </c>
      <c r="C133" s="3">
        <f t="shared" si="9"/>
        <v>1</v>
      </c>
      <c r="D133" s="3">
        <f t="shared" si="10"/>
        <v>1</v>
      </c>
    </row>
    <row r="134" spans="1:4" x14ac:dyDescent="0.3">
      <c r="A134" s="2">
        <v>122</v>
      </c>
      <c r="B134" s="3">
        <f t="shared" si="8"/>
        <v>1</v>
      </c>
      <c r="C134" s="3">
        <f t="shared" si="9"/>
        <v>1</v>
      </c>
      <c r="D134" s="3">
        <f t="shared" si="10"/>
        <v>1</v>
      </c>
    </row>
    <row r="135" spans="1:4" x14ac:dyDescent="0.3">
      <c r="A135" s="2">
        <v>123</v>
      </c>
      <c r="B135" s="3">
        <f t="shared" si="8"/>
        <v>1</v>
      </c>
      <c r="C135" s="3">
        <f t="shared" si="9"/>
        <v>1</v>
      </c>
      <c r="D135" s="3">
        <f t="shared" si="10"/>
        <v>1</v>
      </c>
    </row>
    <row r="136" spans="1:4" x14ac:dyDescent="0.3">
      <c r="A136" s="2">
        <v>124</v>
      </c>
      <c r="B136" s="3">
        <f t="shared" si="8"/>
        <v>1</v>
      </c>
      <c r="C136" s="3">
        <f t="shared" si="9"/>
        <v>1</v>
      </c>
      <c r="D136" s="3">
        <f t="shared" si="10"/>
        <v>1</v>
      </c>
    </row>
    <row r="137" spans="1:4" x14ac:dyDescent="0.3">
      <c r="A137" s="2">
        <v>125</v>
      </c>
      <c r="B137" s="3">
        <f t="shared" si="8"/>
        <v>1</v>
      </c>
      <c r="C137" s="3">
        <f t="shared" si="9"/>
        <v>1</v>
      </c>
      <c r="D137" s="3">
        <f t="shared" si="10"/>
        <v>1</v>
      </c>
    </row>
    <row r="138" spans="1:4" x14ac:dyDescent="0.3">
      <c r="A138" s="2">
        <v>126</v>
      </c>
      <c r="B138" s="3">
        <f t="shared" si="8"/>
        <v>1</v>
      </c>
      <c r="C138" s="3">
        <f t="shared" si="9"/>
        <v>1</v>
      </c>
      <c r="D138" s="3">
        <f t="shared" si="10"/>
        <v>1</v>
      </c>
    </row>
    <row r="139" spans="1:4" x14ac:dyDescent="0.3">
      <c r="A139" s="2">
        <v>127</v>
      </c>
      <c r="B139" s="3">
        <f t="shared" si="8"/>
        <v>1</v>
      </c>
      <c r="C139" s="3">
        <f t="shared" si="9"/>
        <v>1</v>
      </c>
      <c r="D139" s="3">
        <f t="shared" si="10"/>
        <v>1</v>
      </c>
    </row>
    <row r="140" spans="1:4" x14ac:dyDescent="0.3">
      <c r="A140" s="2">
        <v>128</v>
      </c>
      <c r="B140" s="3">
        <f t="shared" si="8"/>
        <v>1</v>
      </c>
      <c r="C140" s="3">
        <f t="shared" si="9"/>
        <v>1</v>
      </c>
      <c r="D140" s="3">
        <f t="shared" si="10"/>
        <v>1</v>
      </c>
    </row>
    <row r="141" spans="1:4" x14ac:dyDescent="0.3">
      <c r="A141" s="2">
        <v>129</v>
      </c>
      <c r="B141" s="3">
        <f t="shared" si="8"/>
        <v>1</v>
      </c>
      <c r="C141" s="3">
        <f t="shared" si="9"/>
        <v>1</v>
      </c>
      <c r="D141" s="3">
        <f t="shared" si="10"/>
        <v>1</v>
      </c>
    </row>
    <row r="142" spans="1:4" x14ac:dyDescent="0.3">
      <c r="A142" s="2">
        <v>130</v>
      </c>
      <c r="B142" s="3">
        <f t="shared" ref="B142:B147" si="14">1/8*(12-3*C141-1*D141)</f>
        <v>1</v>
      </c>
      <c r="C142" s="3">
        <f t="shared" ref="C142:C147" si="15">1/4*(5-2*B142+1*D141)</f>
        <v>1</v>
      </c>
      <c r="D142" s="3">
        <f t="shared" ref="D142:D147" si="16">1/7*(1+6*B142-0*C142)</f>
        <v>1</v>
      </c>
    </row>
    <row r="143" spans="1:4" x14ac:dyDescent="0.3">
      <c r="A143" s="2">
        <v>131</v>
      </c>
      <c r="B143" s="3">
        <f t="shared" si="14"/>
        <v>1</v>
      </c>
      <c r="C143" s="3">
        <f t="shared" si="15"/>
        <v>1</v>
      </c>
      <c r="D143" s="3">
        <f t="shared" si="16"/>
        <v>1</v>
      </c>
    </row>
    <row r="144" spans="1:4" x14ac:dyDescent="0.3">
      <c r="A144" s="2">
        <v>132</v>
      </c>
      <c r="B144" s="3">
        <f t="shared" si="14"/>
        <v>1</v>
      </c>
      <c r="C144" s="3">
        <f t="shared" si="15"/>
        <v>1</v>
      </c>
      <c r="D144" s="3">
        <f t="shared" si="16"/>
        <v>1</v>
      </c>
    </row>
    <row r="145" spans="1:4" x14ac:dyDescent="0.3">
      <c r="A145" s="2">
        <v>133</v>
      </c>
      <c r="B145" s="3">
        <f t="shared" si="14"/>
        <v>1</v>
      </c>
      <c r="C145" s="3">
        <f t="shared" si="15"/>
        <v>1</v>
      </c>
      <c r="D145" s="3">
        <f t="shared" si="16"/>
        <v>1</v>
      </c>
    </row>
    <row r="146" spans="1:4" x14ac:dyDescent="0.3">
      <c r="A146" s="2">
        <v>134</v>
      </c>
      <c r="B146" s="3">
        <f t="shared" si="14"/>
        <v>1</v>
      </c>
      <c r="C146" s="3">
        <f t="shared" si="15"/>
        <v>1</v>
      </c>
      <c r="D146" s="3">
        <f t="shared" si="16"/>
        <v>1</v>
      </c>
    </row>
    <row r="147" spans="1:4" x14ac:dyDescent="0.3">
      <c r="A147" s="2">
        <v>135</v>
      </c>
      <c r="B147" s="3">
        <f t="shared" si="14"/>
        <v>1</v>
      </c>
      <c r="C147" s="3">
        <f t="shared" si="15"/>
        <v>1</v>
      </c>
      <c r="D147" s="3">
        <f t="shared" si="16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9"/>
  <sheetViews>
    <sheetView workbookViewId="0">
      <selection activeCell="E15" sqref="E15"/>
    </sheetView>
  </sheetViews>
  <sheetFormatPr defaultRowHeight="14.4" x14ac:dyDescent="0.3"/>
  <cols>
    <col min="1" max="4" width="15.6640625" customWidth="1"/>
    <col min="5" max="5" width="11.21875" customWidth="1"/>
    <col min="6" max="8" width="9.5546875" bestFit="1" customWidth="1"/>
  </cols>
  <sheetData>
    <row r="1" spans="1:17" x14ac:dyDescent="0.3">
      <c r="O1" t="s">
        <v>14</v>
      </c>
    </row>
    <row r="2" spans="1:17" x14ac:dyDescent="0.3">
      <c r="O2">
        <v>2.95</v>
      </c>
      <c r="P2">
        <v>1.1499999999999999</v>
      </c>
      <c r="Q2">
        <v>1.3</v>
      </c>
    </row>
    <row r="3" spans="1:17" ht="15" thickBot="1" x14ac:dyDescent="0.35"/>
    <row r="4" spans="1:17" x14ac:dyDescent="0.3">
      <c r="J4" s="10" t="s">
        <v>13</v>
      </c>
      <c r="K4" s="11"/>
      <c r="L4" s="11"/>
      <c r="M4" s="12"/>
    </row>
    <row r="5" spans="1:17" x14ac:dyDescent="0.3">
      <c r="J5" s="13"/>
      <c r="K5" s="1" t="s">
        <v>1</v>
      </c>
      <c r="L5" s="1" t="s">
        <v>2</v>
      </c>
      <c r="M5" s="20" t="s">
        <v>3</v>
      </c>
    </row>
    <row r="6" spans="1:17" x14ac:dyDescent="0.3">
      <c r="J6" s="13"/>
      <c r="K6" s="21">
        <v>1</v>
      </c>
      <c r="L6" s="21">
        <v>1</v>
      </c>
      <c r="M6" s="22">
        <v>1</v>
      </c>
    </row>
    <row r="7" spans="1:17" x14ac:dyDescent="0.3">
      <c r="J7" s="13" t="s">
        <v>8</v>
      </c>
      <c r="M7" s="14" t="s">
        <v>12</v>
      </c>
    </row>
    <row r="8" spans="1:17" x14ac:dyDescent="0.3">
      <c r="J8" s="13" t="s">
        <v>9</v>
      </c>
      <c r="K8" s="16">
        <f>-K6+3*L6+5*M6</f>
        <v>7</v>
      </c>
      <c r="L8" s="16"/>
      <c r="M8" s="17">
        <v>7</v>
      </c>
    </row>
    <row r="9" spans="1:17" x14ac:dyDescent="0.3">
      <c r="J9" s="13" t="s">
        <v>10</v>
      </c>
      <c r="K9" s="16">
        <f>-2*K6+4*L6-5*M6</f>
        <v>-3</v>
      </c>
      <c r="L9" s="16"/>
      <c r="M9" s="17">
        <v>-3</v>
      </c>
    </row>
    <row r="10" spans="1:17" ht="15" thickBot="1" x14ac:dyDescent="0.35">
      <c r="J10" s="15" t="s">
        <v>11</v>
      </c>
      <c r="K10" s="18">
        <f>0*K6+2*L6-1*M6</f>
        <v>1</v>
      </c>
      <c r="L10" s="18"/>
      <c r="M10" s="19">
        <v>1</v>
      </c>
    </row>
    <row r="11" spans="1:17" x14ac:dyDescent="0.3">
      <c r="F11" t="s">
        <v>7</v>
      </c>
      <c r="H11" s="8">
        <v>9.9999999999999995E-7</v>
      </c>
      <c r="K11" t="s">
        <v>15</v>
      </c>
    </row>
    <row r="12" spans="1:17" ht="15" thickBot="1" x14ac:dyDescent="0.35"/>
    <row r="13" spans="1:17" ht="15" thickBot="1" x14ac:dyDescent="0.35">
      <c r="A13" s="5" t="s">
        <v>0</v>
      </c>
      <c r="B13" s="6" t="s">
        <v>1</v>
      </c>
      <c r="C13" s="6" t="s">
        <v>2</v>
      </c>
      <c r="D13" s="7" t="s">
        <v>3</v>
      </c>
      <c r="F13" s="1" t="s">
        <v>4</v>
      </c>
      <c r="G13" s="1" t="s">
        <v>5</v>
      </c>
      <c r="H13" s="1" t="s">
        <v>6</v>
      </c>
    </row>
    <row r="14" spans="1:17" x14ac:dyDescent="0.3">
      <c r="A14" s="4">
        <v>0</v>
      </c>
      <c r="B14" s="9">
        <v>1.01</v>
      </c>
      <c r="C14" s="9">
        <v>1.01</v>
      </c>
      <c r="D14" s="9">
        <v>1.01</v>
      </c>
    </row>
    <row r="15" spans="1:17" x14ac:dyDescent="0.3">
      <c r="A15" s="2">
        <v>1</v>
      </c>
      <c r="B15" s="3">
        <f>-1/2*(-3-4*C14+5*D14)</f>
        <v>0.99500000000000011</v>
      </c>
      <c r="C15" s="3">
        <f>1/2*(1-0*B15+1*D14)</f>
        <v>1.0049999999999999</v>
      </c>
      <c r="D15" s="3">
        <f>1/5*(7+1*B15-3*C15)</f>
        <v>0.99600000000000011</v>
      </c>
      <c r="E15" s="1" t="str">
        <f>IF(SUM(F15:H15)&lt;$H$11,"Converged","-")</f>
        <v>-</v>
      </c>
      <c r="F15" s="8">
        <f>ABS((B15-B14)/B15)*100</f>
        <v>1.5075376884422012</v>
      </c>
      <c r="G15" s="8">
        <f t="shared" ref="G15:H30" si="0">ABS((C15-C14)/C15)*100</f>
        <v>0.49751243781095678</v>
      </c>
      <c r="H15" s="8">
        <f t="shared" si="0"/>
        <v>1.4056224899598293</v>
      </c>
      <c r="J15">
        <f>IF(F15&lt;$H$11,1,0)</f>
        <v>0</v>
      </c>
      <c r="K15">
        <f t="shared" ref="K15:L30" si="1">IF(G15&lt;$H$11,1,0)</f>
        <v>0</v>
      </c>
      <c r="L15">
        <f t="shared" si="1"/>
        <v>0</v>
      </c>
    </row>
    <row r="16" spans="1:17" x14ac:dyDescent="0.3">
      <c r="A16" s="2">
        <v>2</v>
      </c>
      <c r="B16" s="3">
        <f t="shared" ref="B16:B79" si="2">-1/2*(-3-4*C15+5*D15)</f>
        <v>1.0199999999999996</v>
      </c>
      <c r="C16" s="3">
        <f t="shared" ref="C16:C79" si="3">1/2*(1-0*B16+1*D15)</f>
        <v>0.998</v>
      </c>
      <c r="D16" s="3">
        <f t="shared" ref="D16:D79" si="4">1/5*(7+1*B16-3*C16)</f>
        <v>1.0052000000000001</v>
      </c>
      <c r="E16" s="1" t="str">
        <f t="shared" ref="E16:E79" si="5">IF(SUM(F16:H16)&lt;$H$11,"Converged","-")</f>
        <v>-</v>
      </c>
      <c r="F16" s="8">
        <f t="shared" ref="F16:H79" si="6">ABS((B16-B15)/B16)*100</f>
        <v>2.4509803921568114</v>
      </c>
      <c r="G16" s="8">
        <f t="shared" si="0"/>
        <v>0.70140280561121193</v>
      </c>
      <c r="H16" s="8">
        <f t="shared" si="0"/>
        <v>0.91524074810982736</v>
      </c>
      <c r="J16">
        <f t="shared" ref="J16:L79" si="7">IF(F16&lt;$H$11,1,0)</f>
        <v>0</v>
      </c>
      <c r="K16">
        <f t="shared" si="1"/>
        <v>0</v>
      </c>
      <c r="L16">
        <f t="shared" si="1"/>
        <v>0</v>
      </c>
    </row>
    <row r="17" spans="1:12" x14ac:dyDescent="0.3">
      <c r="A17" s="2">
        <v>3</v>
      </c>
      <c r="B17" s="3">
        <f t="shared" si="2"/>
        <v>0.98299999999999965</v>
      </c>
      <c r="C17" s="3">
        <f t="shared" si="3"/>
        <v>1.0026000000000002</v>
      </c>
      <c r="D17" s="3">
        <f t="shared" si="4"/>
        <v>0.99503999999999992</v>
      </c>
      <c r="E17" s="1" t="str">
        <f t="shared" si="5"/>
        <v>-</v>
      </c>
      <c r="F17" s="8">
        <f t="shared" si="6"/>
        <v>3.763987792472018</v>
      </c>
      <c r="G17" s="8">
        <f t="shared" si="0"/>
        <v>0.45880710153602228</v>
      </c>
      <c r="H17" s="8">
        <f t="shared" si="0"/>
        <v>1.0210644798199238</v>
      </c>
      <c r="J17">
        <f t="shared" si="7"/>
        <v>0</v>
      </c>
      <c r="K17">
        <f t="shared" si="1"/>
        <v>0</v>
      </c>
      <c r="L17">
        <f t="shared" si="1"/>
        <v>0</v>
      </c>
    </row>
    <row r="18" spans="1:12" x14ac:dyDescent="0.3">
      <c r="A18" s="2">
        <v>4</v>
      </c>
      <c r="B18" s="3">
        <f t="shared" si="2"/>
        <v>1.0176000000000007</v>
      </c>
      <c r="C18" s="3">
        <f t="shared" si="3"/>
        <v>0.99751999999999996</v>
      </c>
      <c r="D18" s="3">
        <f t="shared" si="4"/>
        <v>1.0050080000000003</v>
      </c>
      <c r="E18" s="1" t="str">
        <f t="shared" si="5"/>
        <v>-</v>
      </c>
      <c r="F18" s="8">
        <f t="shared" si="6"/>
        <v>3.400157232704506</v>
      </c>
      <c r="G18" s="8">
        <f t="shared" si="0"/>
        <v>0.50926297217100369</v>
      </c>
      <c r="H18" s="8">
        <f t="shared" si="0"/>
        <v>0.99183290083267184</v>
      </c>
      <c r="J18">
        <f t="shared" si="7"/>
        <v>0</v>
      </c>
      <c r="K18">
        <f t="shared" si="1"/>
        <v>0</v>
      </c>
      <c r="L18">
        <f t="shared" si="1"/>
        <v>0</v>
      </c>
    </row>
    <row r="19" spans="1:12" x14ac:dyDescent="0.3">
      <c r="A19" s="2">
        <v>5</v>
      </c>
      <c r="B19" s="3">
        <f t="shared" si="2"/>
        <v>0.98251999999999917</v>
      </c>
      <c r="C19" s="3">
        <f t="shared" si="3"/>
        <v>1.0025040000000001</v>
      </c>
      <c r="D19" s="3">
        <f t="shared" si="4"/>
        <v>0.99500159999999982</v>
      </c>
      <c r="E19" s="1" t="str">
        <f t="shared" si="5"/>
        <v>-</v>
      </c>
      <c r="F19" s="8">
        <f t="shared" si="6"/>
        <v>3.5704107804422893</v>
      </c>
      <c r="G19" s="8">
        <f t="shared" si="0"/>
        <v>0.49715512357058916</v>
      </c>
      <c r="H19" s="8">
        <f t="shared" si="0"/>
        <v>1.0056667245560738</v>
      </c>
      <c r="J19">
        <f t="shared" si="7"/>
        <v>0</v>
      </c>
      <c r="K19">
        <f t="shared" si="1"/>
        <v>0</v>
      </c>
      <c r="L19">
        <f t="shared" si="1"/>
        <v>0</v>
      </c>
    </row>
    <row r="20" spans="1:12" x14ac:dyDescent="0.3">
      <c r="A20" s="2">
        <v>6</v>
      </c>
      <c r="B20" s="3">
        <f t="shared" si="2"/>
        <v>1.0175040000000006</v>
      </c>
      <c r="C20" s="3">
        <f t="shared" si="3"/>
        <v>0.99750079999999985</v>
      </c>
      <c r="D20" s="3">
        <f t="shared" si="4"/>
        <v>1.0050003200000004</v>
      </c>
      <c r="E20" s="1" t="str">
        <f t="shared" si="5"/>
        <v>-</v>
      </c>
      <c r="F20" s="8">
        <f t="shared" si="6"/>
        <v>3.4382174418971756</v>
      </c>
      <c r="G20" s="8">
        <f t="shared" si="0"/>
        <v>0.50157353257262627</v>
      </c>
      <c r="H20" s="8">
        <f t="shared" si="0"/>
        <v>0.99489719565468082</v>
      </c>
      <c r="J20">
        <f t="shared" si="7"/>
        <v>0</v>
      </c>
      <c r="K20">
        <f t="shared" si="1"/>
        <v>0</v>
      </c>
      <c r="L20">
        <f t="shared" si="1"/>
        <v>0</v>
      </c>
    </row>
    <row r="21" spans="1:12" x14ac:dyDescent="0.3">
      <c r="A21" s="2">
        <v>7</v>
      </c>
      <c r="B21" s="3">
        <f t="shared" si="2"/>
        <v>0.98250079999999862</v>
      </c>
      <c r="C21" s="3">
        <f t="shared" si="3"/>
        <v>1.0025001600000003</v>
      </c>
      <c r="D21" s="3">
        <f t="shared" si="4"/>
        <v>0.99500006399999963</v>
      </c>
      <c r="E21" s="1" t="str">
        <f t="shared" si="5"/>
        <v>-</v>
      </c>
      <c r="F21" s="8">
        <f t="shared" si="6"/>
        <v>3.5626637657701714</v>
      </c>
      <c r="G21" s="8">
        <f t="shared" si="0"/>
        <v>0.49868919721673172</v>
      </c>
      <c r="H21" s="8">
        <f t="shared" si="0"/>
        <v>1.005050789624951</v>
      </c>
      <c r="J21">
        <f t="shared" si="7"/>
        <v>0</v>
      </c>
      <c r="K21">
        <f t="shared" si="1"/>
        <v>0</v>
      </c>
      <c r="L21">
        <f t="shared" si="1"/>
        <v>0</v>
      </c>
    </row>
    <row r="22" spans="1:12" x14ac:dyDescent="0.3">
      <c r="A22" s="2">
        <v>8</v>
      </c>
      <c r="B22" s="3">
        <f t="shared" si="2"/>
        <v>1.0175001600000018</v>
      </c>
      <c r="C22" s="3">
        <f t="shared" si="3"/>
        <v>0.99750003199999981</v>
      </c>
      <c r="D22" s="3">
        <f t="shared" si="4"/>
        <v>1.0050000128000003</v>
      </c>
      <c r="E22" s="1" t="str">
        <f t="shared" si="5"/>
        <v>-</v>
      </c>
      <c r="F22" s="8">
        <f t="shared" si="6"/>
        <v>3.4397399996480669</v>
      </c>
      <c r="G22" s="8">
        <f t="shared" si="0"/>
        <v>0.50126594883161801</v>
      </c>
      <c r="H22" s="8">
        <f t="shared" si="0"/>
        <v>0.99501976842170403</v>
      </c>
      <c r="J22">
        <f t="shared" si="7"/>
        <v>0</v>
      </c>
      <c r="K22">
        <f t="shared" si="1"/>
        <v>0</v>
      </c>
      <c r="L22">
        <f t="shared" si="1"/>
        <v>0</v>
      </c>
    </row>
    <row r="23" spans="1:12" x14ac:dyDescent="0.3">
      <c r="A23" s="2">
        <v>9</v>
      </c>
      <c r="B23" s="3">
        <f t="shared" si="2"/>
        <v>0.98250003199999902</v>
      </c>
      <c r="C23" s="3">
        <f t="shared" si="3"/>
        <v>1.0025000064</v>
      </c>
      <c r="D23" s="3">
        <f t="shared" si="4"/>
        <v>0.99500000255999987</v>
      </c>
      <c r="E23" s="1" t="str">
        <f t="shared" si="5"/>
        <v>-</v>
      </c>
      <c r="F23" s="8">
        <f t="shared" si="6"/>
        <v>3.5623538788854483</v>
      </c>
      <c r="G23" s="8">
        <f t="shared" si="0"/>
        <v>0.49875056040700066</v>
      </c>
      <c r="H23" s="8">
        <f t="shared" si="0"/>
        <v>1.005026152188115</v>
      </c>
      <c r="J23">
        <f t="shared" si="7"/>
        <v>0</v>
      </c>
      <c r="K23">
        <f t="shared" si="1"/>
        <v>0</v>
      </c>
      <c r="L23">
        <f t="shared" si="1"/>
        <v>0</v>
      </c>
    </row>
    <row r="24" spans="1:12" x14ac:dyDescent="0.3">
      <c r="A24" s="2">
        <v>10</v>
      </c>
      <c r="B24" s="3">
        <f t="shared" si="2"/>
        <v>1.0175000064000006</v>
      </c>
      <c r="C24" s="3">
        <f t="shared" si="3"/>
        <v>0.99750000127999994</v>
      </c>
      <c r="D24" s="3">
        <f t="shared" si="4"/>
        <v>1.0050000005120001</v>
      </c>
      <c r="E24" s="1" t="str">
        <f t="shared" si="5"/>
        <v>-</v>
      </c>
      <c r="F24" s="8">
        <f t="shared" si="6"/>
        <v>3.4398009021969829</v>
      </c>
      <c r="G24" s="8">
        <f t="shared" si="0"/>
        <v>0.50125364547208506</v>
      </c>
      <c r="H24" s="8">
        <f t="shared" si="0"/>
        <v>0.9950246713339016</v>
      </c>
      <c r="J24">
        <f t="shared" si="7"/>
        <v>0</v>
      </c>
      <c r="K24">
        <f t="shared" si="1"/>
        <v>0</v>
      </c>
      <c r="L24">
        <f t="shared" si="1"/>
        <v>0</v>
      </c>
    </row>
    <row r="25" spans="1:12" x14ac:dyDescent="0.3">
      <c r="A25" s="2">
        <v>11</v>
      </c>
      <c r="B25" s="3">
        <f t="shared" si="2"/>
        <v>0.98250000127999959</v>
      </c>
      <c r="C25" s="3">
        <f t="shared" si="3"/>
        <v>1.0025000002560001</v>
      </c>
      <c r="D25" s="3">
        <f t="shared" si="4"/>
        <v>0.99500000010239997</v>
      </c>
      <c r="E25" s="1" t="str">
        <f t="shared" si="5"/>
        <v>-</v>
      </c>
      <c r="F25" s="8">
        <f t="shared" si="6"/>
        <v>3.5623414833998015</v>
      </c>
      <c r="G25" s="8">
        <f t="shared" si="0"/>
        <v>0.49875301493499363</v>
      </c>
      <c r="H25" s="8">
        <f t="shared" si="0"/>
        <v>1.0050251666905521</v>
      </c>
      <c r="J25">
        <f t="shared" si="7"/>
        <v>0</v>
      </c>
      <c r="K25">
        <f t="shared" si="1"/>
        <v>0</v>
      </c>
      <c r="L25">
        <f t="shared" si="1"/>
        <v>0</v>
      </c>
    </row>
    <row r="26" spans="1:12" x14ac:dyDescent="0.3">
      <c r="A26" s="2">
        <v>12</v>
      </c>
      <c r="B26" s="3">
        <f t="shared" si="2"/>
        <v>1.0175000002560002</v>
      </c>
      <c r="C26" s="3">
        <f t="shared" si="3"/>
        <v>0.99750000005119999</v>
      </c>
      <c r="D26" s="3">
        <f t="shared" si="4"/>
        <v>1.0050000000204802</v>
      </c>
      <c r="E26" s="1" t="str">
        <f t="shared" si="5"/>
        <v>-</v>
      </c>
      <c r="F26" s="8">
        <f t="shared" si="6"/>
        <v>3.4398033382992321</v>
      </c>
      <c r="G26" s="8">
        <f t="shared" si="0"/>
        <v>0.50125315333768716</v>
      </c>
      <c r="H26" s="8">
        <f t="shared" si="0"/>
        <v>0.9950248674503902</v>
      </c>
      <c r="J26">
        <f t="shared" si="7"/>
        <v>0</v>
      </c>
      <c r="K26">
        <f t="shared" si="1"/>
        <v>0</v>
      </c>
      <c r="L26">
        <f t="shared" si="1"/>
        <v>0</v>
      </c>
    </row>
    <row r="27" spans="1:12" x14ac:dyDescent="0.3">
      <c r="A27" s="2">
        <v>13</v>
      </c>
      <c r="B27" s="3">
        <f t="shared" si="2"/>
        <v>0.98250000005119942</v>
      </c>
      <c r="C27" s="3">
        <f t="shared" si="3"/>
        <v>1.0025000000102402</v>
      </c>
      <c r="D27" s="3">
        <f t="shared" si="4"/>
        <v>0.99500000000409594</v>
      </c>
      <c r="E27" s="1" t="str">
        <f t="shared" si="5"/>
        <v>-</v>
      </c>
      <c r="F27" s="8">
        <f t="shared" si="6"/>
        <v>3.5623409875803427</v>
      </c>
      <c r="G27" s="8">
        <f t="shared" si="0"/>
        <v>0.49875311311612369</v>
      </c>
      <c r="H27" s="8">
        <f t="shared" si="0"/>
        <v>1.0050251272706603</v>
      </c>
      <c r="J27">
        <f t="shared" si="7"/>
        <v>0</v>
      </c>
      <c r="K27">
        <f t="shared" si="1"/>
        <v>0</v>
      </c>
      <c r="L27">
        <f t="shared" si="1"/>
        <v>0</v>
      </c>
    </row>
    <row r="28" spans="1:12" x14ac:dyDescent="0.3">
      <c r="A28" s="2">
        <v>14</v>
      </c>
      <c r="B28" s="3">
        <f t="shared" si="2"/>
        <v>1.0175000000102408</v>
      </c>
      <c r="C28" s="3">
        <f t="shared" si="3"/>
        <v>0.99750000000204797</v>
      </c>
      <c r="D28" s="3">
        <f t="shared" si="4"/>
        <v>1.0050000000008195</v>
      </c>
      <c r="E28" s="1" t="str">
        <f t="shared" si="5"/>
        <v>-</v>
      </c>
      <c r="F28" s="8">
        <f t="shared" si="6"/>
        <v>3.4398034357433991</v>
      </c>
      <c r="G28" s="8">
        <f t="shared" si="0"/>
        <v>0.50125313365232715</v>
      </c>
      <c r="H28" s="8">
        <f t="shared" si="0"/>
        <v>0.99502487529506112</v>
      </c>
      <c r="J28">
        <f t="shared" si="7"/>
        <v>0</v>
      </c>
      <c r="K28">
        <f t="shared" si="1"/>
        <v>0</v>
      </c>
      <c r="L28">
        <f t="shared" si="1"/>
        <v>0</v>
      </c>
    </row>
    <row r="29" spans="1:12" x14ac:dyDescent="0.3">
      <c r="A29" s="2">
        <v>15</v>
      </c>
      <c r="B29" s="3">
        <f t="shared" si="2"/>
        <v>0.98250000000204718</v>
      </c>
      <c r="C29" s="3">
        <f t="shared" si="3"/>
        <v>1.0025000000004098</v>
      </c>
      <c r="D29" s="3">
        <f t="shared" si="4"/>
        <v>0.99500000000016353</v>
      </c>
      <c r="E29" s="1" t="str">
        <f t="shared" si="5"/>
        <v>-</v>
      </c>
      <c r="F29" s="8">
        <f t="shared" si="6"/>
        <v>3.5623409677476499</v>
      </c>
      <c r="G29" s="8">
        <f t="shared" si="0"/>
        <v>0.49875311704337416</v>
      </c>
      <c r="H29" s="8">
        <f t="shared" si="0"/>
        <v>1.005025125693898</v>
      </c>
      <c r="J29">
        <f t="shared" si="7"/>
        <v>0</v>
      </c>
      <c r="K29">
        <f t="shared" si="1"/>
        <v>0</v>
      </c>
      <c r="L29">
        <f t="shared" si="1"/>
        <v>0</v>
      </c>
    </row>
    <row r="30" spans="1:12" x14ac:dyDescent="0.3">
      <c r="A30" s="2">
        <v>16</v>
      </c>
      <c r="B30" s="3">
        <f t="shared" si="2"/>
        <v>1.0175000000004109</v>
      </c>
      <c r="C30" s="3">
        <f t="shared" si="3"/>
        <v>0.99750000000008177</v>
      </c>
      <c r="D30" s="3">
        <f t="shared" si="4"/>
        <v>1.0050000000000332</v>
      </c>
      <c r="E30" s="1" t="str">
        <f t="shared" si="5"/>
        <v>-</v>
      </c>
      <c r="F30" s="8">
        <f t="shared" si="6"/>
        <v>3.4398034396412327</v>
      </c>
      <c r="G30" s="8">
        <f t="shared" si="0"/>
        <v>0.5012531328649289</v>
      </c>
      <c r="H30" s="8">
        <f t="shared" si="0"/>
        <v>0.99502487560888953</v>
      </c>
      <c r="J30">
        <f t="shared" si="7"/>
        <v>0</v>
      </c>
      <c r="K30">
        <f t="shared" si="1"/>
        <v>0</v>
      </c>
      <c r="L30">
        <f t="shared" si="1"/>
        <v>0</v>
      </c>
    </row>
    <row r="31" spans="1:12" x14ac:dyDescent="0.3">
      <c r="A31" s="2">
        <v>17</v>
      </c>
      <c r="B31" s="3">
        <f t="shared" si="2"/>
        <v>0.98250000000008075</v>
      </c>
      <c r="C31" s="3">
        <f t="shared" si="3"/>
        <v>1.0025000000000166</v>
      </c>
      <c r="D31" s="3">
        <f t="shared" si="4"/>
        <v>0.99500000000000621</v>
      </c>
      <c r="E31" s="1" t="str">
        <f t="shared" si="5"/>
        <v>-</v>
      </c>
      <c r="F31" s="8">
        <f t="shared" si="6"/>
        <v>3.5623409669544248</v>
      </c>
      <c r="G31" s="8">
        <f t="shared" si="6"/>
        <v>0.49875311720047394</v>
      </c>
      <c r="H31" s="8">
        <f t="shared" si="6"/>
        <v>1.0050251256308467</v>
      </c>
      <c r="J31">
        <f t="shared" si="7"/>
        <v>0</v>
      </c>
      <c r="K31">
        <f t="shared" si="7"/>
        <v>0</v>
      </c>
      <c r="L31">
        <f t="shared" si="7"/>
        <v>0</v>
      </c>
    </row>
    <row r="32" spans="1:12" x14ac:dyDescent="0.3">
      <c r="A32" s="2">
        <v>18</v>
      </c>
      <c r="B32" s="3">
        <f t="shared" si="2"/>
        <v>1.0175000000000178</v>
      </c>
      <c r="C32" s="3">
        <f t="shared" si="3"/>
        <v>0.99750000000000316</v>
      </c>
      <c r="D32" s="3">
        <f t="shared" si="4"/>
        <v>1.0050000000000017</v>
      </c>
      <c r="E32" s="1" t="str">
        <f t="shared" si="5"/>
        <v>-</v>
      </c>
      <c r="F32" s="8">
        <f t="shared" si="6"/>
        <v>3.4398034397971964</v>
      </c>
      <c r="G32" s="8">
        <f t="shared" si="6"/>
        <v>0.50125313283342576</v>
      </c>
      <c r="H32" s="8">
        <f t="shared" si="6"/>
        <v>0.99502487562143693</v>
      </c>
      <c r="J32">
        <f t="shared" si="7"/>
        <v>0</v>
      </c>
      <c r="K32">
        <f t="shared" si="7"/>
        <v>0</v>
      </c>
      <c r="L32">
        <f t="shared" si="7"/>
        <v>0</v>
      </c>
    </row>
    <row r="33" spans="1:12" x14ac:dyDescent="0.3">
      <c r="A33" s="2">
        <v>19</v>
      </c>
      <c r="B33" s="3">
        <f t="shared" si="2"/>
        <v>0.98250000000000215</v>
      </c>
      <c r="C33" s="3">
        <f t="shared" si="3"/>
        <v>1.0025000000000008</v>
      </c>
      <c r="D33" s="3">
        <f t="shared" si="4"/>
        <v>0.995</v>
      </c>
      <c r="E33" s="1" t="str">
        <f t="shared" si="5"/>
        <v>-</v>
      </c>
      <c r="F33" s="8">
        <f t="shared" si="6"/>
        <v>3.5623409669227084</v>
      </c>
      <c r="G33" s="8">
        <f t="shared" si="6"/>
        <v>0.49875311720674997</v>
      </c>
      <c r="H33" s="8">
        <f t="shared" si="6"/>
        <v>1.0050251256283089</v>
      </c>
      <c r="J33">
        <f t="shared" si="7"/>
        <v>0</v>
      </c>
      <c r="K33">
        <f t="shared" si="7"/>
        <v>0</v>
      </c>
      <c r="L33">
        <f t="shared" si="7"/>
        <v>0</v>
      </c>
    </row>
    <row r="34" spans="1:12" x14ac:dyDescent="0.3">
      <c r="A34" s="2">
        <v>20</v>
      </c>
      <c r="B34" s="3">
        <f t="shared" si="2"/>
        <v>1.0175000000000018</v>
      </c>
      <c r="C34" s="3">
        <f t="shared" si="3"/>
        <v>0.99750000000000005</v>
      </c>
      <c r="D34" s="3">
        <f t="shared" si="4"/>
        <v>1.0050000000000006</v>
      </c>
      <c r="E34" s="1" t="str">
        <f t="shared" si="5"/>
        <v>-</v>
      </c>
      <c r="F34" s="8">
        <f t="shared" si="6"/>
        <v>3.4398034398034039</v>
      </c>
      <c r="G34" s="8">
        <f t="shared" si="6"/>
        <v>0.50125313283215844</v>
      </c>
      <c r="H34" s="8">
        <f t="shared" si="6"/>
        <v>0.99502487562194608</v>
      </c>
      <c r="J34">
        <f t="shared" si="7"/>
        <v>0</v>
      </c>
      <c r="K34">
        <f t="shared" si="7"/>
        <v>0</v>
      </c>
      <c r="L34">
        <f t="shared" si="7"/>
        <v>0</v>
      </c>
    </row>
    <row r="35" spans="1:12" x14ac:dyDescent="0.3">
      <c r="A35" s="2">
        <v>21</v>
      </c>
      <c r="B35" s="3">
        <f t="shared" si="2"/>
        <v>0.9824999999999986</v>
      </c>
      <c r="C35" s="3">
        <f t="shared" si="3"/>
        <v>1.0025000000000004</v>
      </c>
      <c r="D35" s="3">
        <f t="shared" si="4"/>
        <v>0.99499999999999944</v>
      </c>
      <c r="E35" s="1" t="str">
        <f t="shared" si="5"/>
        <v>-</v>
      </c>
      <c r="F35" s="8">
        <f t="shared" si="6"/>
        <v>3.5623409669214552</v>
      </c>
      <c r="G35" s="8">
        <f t="shared" si="6"/>
        <v>0.49875311720701598</v>
      </c>
      <c r="H35" s="8">
        <f t="shared" si="6"/>
        <v>1.0050251256282539</v>
      </c>
      <c r="J35">
        <f t="shared" si="7"/>
        <v>0</v>
      </c>
      <c r="K35">
        <f t="shared" si="7"/>
        <v>0</v>
      </c>
      <c r="L35">
        <f t="shared" si="7"/>
        <v>0</v>
      </c>
    </row>
    <row r="36" spans="1:12" x14ac:dyDescent="0.3">
      <c r="A36" s="2">
        <v>22</v>
      </c>
      <c r="B36" s="3">
        <f t="shared" si="2"/>
        <v>1.0175000000000023</v>
      </c>
      <c r="C36" s="3">
        <f t="shared" si="3"/>
        <v>0.99749999999999972</v>
      </c>
      <c r="D36" s="3">
        <f t="shared" si="4"/>
        <v>1.0050000000000006</v>
      </c>
      <c r="E36" s="1" t="str">
        <f t="shared" si="5"/>
        <v>-</v>
      </c>
      <c r="F36" s="8">
        <f t="shared" si="6"/>
        <v>3.4398034398037951</v>
      </c>
      <c r="G36" s="8">
        <f t="shared" si="6"/>
        <v>0.50125313283214756</v>
      </c>
      <c r="H36" s="8">
        <f t="shared" si="6"/>
        <v>0.99502487562200137</v>
      </c>
      <c r="J36">
        <f t="shared" si="7"/>
        <v>0</v>
      </c>
      <c r="K36">
        <f t="shared" si="7"/>
        <v>0</v>
      </c>
      <c r="L36">
        <f t="shared" si="7"/>
        <v>0</v>
      </c>
    </row>
    <row r="37" spans="1:12" x14ac:dyDescent="0.3">
      <c r="A37" s="2">
        <v>23</v>
      </c>
      <c r="B37" s="3">
        <f t="shared" si="2"/>
        <v>0.98249999999999771</v>
      </c>
      <c r="C37" s="3">
        <f t="shared" si="3"/>
        <v>1.0025000000000004</v>
      </c>
      <c r="D37" s="3">
        <f t="shared" si="4"/>
        <v>0.99499999999999944</v>
      </c>
      <c r="E37" s="1" t="str">
        <f t="shared" si="5"/>
        <v>-</v>
      </c>
      <c r="F37" s="8">
        <f t="shared" si="6"/>
        <v>3.5623409669215942</v>
      </c>
      <c r="G37" s="8">
        <f t="shared" si="6"/>
        <v>0.49875311720704923</v>
      </c>
      <c r="H37" s="8">
        <f t="shared" si="6"/>
        <v>1.0050251256282539</v>
      </c>
      <c r="J37">
        <f t="shared" si="7"/>
        <v>0</v>
      </c>
      <c r="K37">
        <f t="shared" si="7"/>
        <v>0</v>
      </c>
      <c r="L37">
        <f t="shared" si="7"/>
        <v>0</v>
      </c>
    </row>
    <row r="38" spans="1:12" x14ac:dyDescent="0.3">
      <c r="A38" s="2">
        <v>24</v>
      </c>
      <c r="B38" s="3">
        <f t="shared" si="2"/>
        <v>1.0175000000000023</v>
      </c>
      <c r="C38" s="3">
        <f t="shared" si="3"/>
        <v>0.99749999999999972</v>
      </c>
      <c r="D38" s="3">
        <f t="shared" si="4"/>
        <v>1.0050000000000006</v>
      </c>
      <c r="E38" s="1" t="str">
        <f t="shared" si="5"/>
        <v>-</v>
      </c>
      <c r="F38" s="8">
        <f t="shared" si="6"/>
        <v>3.4398034398038826</v>
      </c>
      <c r="G38" s="8">
        <f t="shared" si="6"/>
        <v>0.50125313283214756</v>
      </c>
      <c r="H38" s="8">
        <f t="shared" si="6"/>
        <v>0.99502487562200137</v>
      </c>
      <c r="J38">
        <f t="shared" si="7"/>
        <v>0</v>
      </c>
      <c r="K38">
        <f t="shared" si="7"/>
        <v>0</v>
      </c>
      <c r="L38">
        <f t="shared" si="7"/>
        <v>0</v>
      </c>
    </row>
    <row r="39" spans="1:12" x14ac:dyDescent="0.3">
      <c r="A39" s="2">
        <v>25</v>
      </c>
      <c r="B39" s="3">
        <f t="shared" si="2"/>
        <v>0.98249999999999771</v>
      </c>
      <c r="C39" s="3">
        <f t="shared" si="3"/>
        <v>1.0025000000000004</v>
      </c>
      <c r="D39" s="3">
        <f t="shared" si="4"/>
        <v>0.99499999999999944</v>
      </c>
      <c r="E39" s="1" t="str">
        <f t="shared" si="5"/>
        <v>-</v>
      </c>
      <c r="F39" s="8">
        <f t="shared" si="6"/>
        <v>3.5623409669215942</v>
      </c>
      <c r="G39" s="8">
        <f t="shared" si="6"/>
        <v>0.49875311720704923</v>
      </c>
      <c r="H39" s="8">
        <f t="shared" si="6"/>
        <v>1.0050251256282539</v>
      </c>
      <c r="J39">
        <f t="shared" si="7"/>
        <v>0</v>
      </c>
      <c r="K39">
        <f t="shared" si="7"/>
        <v>0</v>
      </c>
      <c r="L39">
        <f t="shared" si="7"/>
        <v>0</v>
      </c>
    </row>
    <row r="40" spans="1:12" x14ac:dyDescent="0.3">
      <c r="A40" s="2">
        <v>26</v>
      </c>
      <c r="B40" s="3">
        <f t="shared" si="2"/>
        <v>1.0175000000000023</v>
      </c>
      <c r="C40" s="3">
        <f t="shared" si="3"/>
        <v>0.99749999999999972</v>
      </c>
      <c r="D40" s="3">
        <f t="shared" si="4"/>
        <v>1.0050000000000006</v>
      </c>
      <c r="E40" s="1" t="str">
        <f t="shared" si="5"/>
        <v>-</v>
      </c>
      <c r="F40" s="8">
        <f t="shared" si="6"/>
        <v>3.4398034398038826</v>
      </c>
      <c r="G40" s="8">
        <f t="shared" si="6"/>
        <v>0.50125313283214756</v>
      </c>
      <c r="H40" s="8">
        <f t="shared" si="6"/>
        <v>0.99502487562200137</v>
      </c>
      <c r="J40">
        <f t="shared" si="7"/>
        <v>0</v>
      </c>
      <c r="K40">
        <f t="shared" si="7"/>
        <v>0</v>
      </c>
      <c r="L40">
        <f t="shared" si="7"/>
        <v>0</v>
      </c>
    </row>
    <row r="41" spans="1:12" x14ac:dyDescent="0.3">
      <c r="A41" s="2">
        <v>27</v>
      </c>
      <c r="B41" s="3">
        <f t="shared" si="2"/>
        <v>0.98249999999999771</v>
      </c>
      <c r="C41" s="3">
        <f t="shared" si="3"/>
        <v>1.0025000000000004</v>
      </c>
      <c r="D41" s="3">
        <f t="shared" si="4"/>
        <v>0.99499999999999944</v>
      </c>
      <c r="E41" s="1" t="str">
        <f t="shared" si="5"/>
        <v>-</v>
      </c>
      <c r="F41" s="8">
        <f t="shared" si="6"/>
        <v>3.5623409669215942</v>
      </c>
      <c r="G41" s="8">
        <f t="shared" si="6"/>
        <v>0.49875311720704923</v>
      </c>
      <c r="H41" s="8">
        <f t="shared" si="6"/>
        <v>1.0050251256282539</v>
      </c>
      <c r="J41">
        <f t="shared" si="7"/>
        <v>0</v>
      </c>
      <c r="K41">
        <f t="shared" si="7"/>
        <v>0</v>
      </c>
      <c r="L41">
        <f t="shared" si="7"/>
        <v>0</v>
      </c>
    </row>
    <row r="42" spans="1:12" x14ac:dyDescent="0.3">
      <c r="A42" s="2">
        <v>28</v>
      </c>
      <c r="B42" s="3">
        <f t="shared" si="2"/>
        <v>1.0175000000000023</v>
      </c>
      <c r="C42" s="3">
        <f t="shared" si="3"/>
        <v>0.99749999999999972</v>
      </c>
      <c r="D42" s="3">
        <f t="shared" si="4"/>
        <v>1.0050000000000006</v>
      </c>
      <c r="E42" s="1" t="str">
        <f t="shared" si="5"/>
        <v>-</v>
      </c>
      <c r="F42" s="8">
        <f t="shared" si="6"/>
        <v>3.4398034398038826</v>
      </c>
      <c r="G42" s="8">
        <f t="shared" si="6"/>
        <v>0.50125313283214756</v>
      </c>
      <c r="H42" s="8">
        <f t="shared" si="6"/>
        <v>0.99502487562200137</v>
      </c>
      <c r="J42">
        <f t="shared" si="7"/>
        <v>0</v>
      </c>
      <c r="K42">
        <f t="shared" si="7"/>
        <v>0</v>
      </c>
      <c r="L42">
        <f t="shared" si="7"/>
        <v>0</v>
      </c>
    </row>
    <row r="43" spans="1:12" x14ac:dyDescent="0.3">
      <c r="A43" s="2">
        <v>29</v>
      </c>
      <c r="B43" s="3">
        <f t="shared" si="2"/>
        <v>0.98249999999999771</v>
      </c>
      <c r="C43" s="3">
        <f t="shared" si="3"/>
        <v>1.0025000000000004</v>
      </c>
      <c r="D43" s="3">
        <f t="shared" si="4"/>
        <v>0.99499999999999944</v>
      </c>
      <c r="E43" s="1" t="str">
        <f t="shared" si="5"/>
        <v>-</v>
      </c>
      <c r="F43" s="8">
        <f t="shared" si="6"/>
        <v>3.5623409669215942</v>
      </c>
      <c r="G43" s="8">
        <f t="shared" si="6"/>
        <v>0.49875311720704923</v>
      </c>
      <c r="H43" s="8">
        <f t="shared" si="6"/>
        <v>1.0050251256282539</v>
      </c>
      <c r="J43">
        <f t="shared" si="7"/>
        <v>0</v>
      </c>
      <c r="K43">
        <f t="shared" si="7"/>
        <v>0</v>
      </c>
      <c r="L43">
        <f t="shared" si="7"/>
        <v>0</v>
      </c>
    </row>
    <row r="44" spans="1:12" x14ac:dyDescent="0.3">
      <c r="A44" s="2">
        <v>30</v>
      </c>
      <c r="B44" s="3">
        <f t="shared" si="2"/>
        <v>1.0175000000000023</v>
      </c>
      <c r="C44" s="3">
        <f t="shared" si="3"/>
        <v>0.99749999999999972</v>
      </c>
      <c r="D44" s="3">
        <f t="shared" si="4"/>
        <v>1.0050000000000006</v>
      </c>
      <c r="E44" s="1" t="str">
        <f t="shared" si="5"/>
        <v>-</v>
      </c>
      <c r="F44" s="8">
        <f t="shared" si="6"/>
        <v>3.4398034398038826</v>
      </c>
      <c r="G44" s="8">
        <f t="shared" si="6"/>
        <v>0.50125313283214756</v>
      </c>
      <c r="H44" s="8">
        <f t="shared" si="6"/>
        <v>0.99502487562200137</v>
      </c>
      <c r="J44">
        <f t="shared" si="7"/>
        <v>0</v>
      </c>
      <c r="K44">
        <f t="shared" si="7"/>
        <v>0</v>
      </c>
      <c r="L44">
        <f t="shared" si="7"/>
        <v>0</v>
      </c>
    </row>
    <row r="45" spans="1:12" x14ac:dyDescent="0.3">
      <c r="A45" s="2">
        <v>31</v>
      </c>
      <c r="B45" s="3">
        <f t="shared" si="2"/>
        <v>0.98249999999999771</v>
      </c>
      <c r="C45" s="3">
        <f t="shared" si="3"/>
        <v>1.0025000000000004</v>
      </c>
      <c r="D45" s="3">
        <f t="shared" si="4"/>
        <v>0.99499999999999944</v>
      </c>
      <c r="E45" s="1" t="str">
        <f t="shared" si="5"/>
        <v>-</v>
      </c>
      <c r="F45" s="8">
        <f t="shared" si="6"/>
        <v>3.5623409669215942</v>
      </c>
      <c r="G45" s="8">
        <f t="shared" si="6"/>
        <v>0.49875311720704923</v>
      </c>
      <c r="H45" s="8">
        <f t="shared" si="6"/>
        <v>1.0050251256282539</v>
      </c>
      <c r="J45">
        <f t="shared" si="7"/>
        <v>0</v>
      </c>
      <c r="K45">
        <f t="shared" si="7"/>
        <v>0</v>
      </c>
      <c r="L45">
        <f t="shared" si="7"/>
        <v>0</v>
      </c>
    </row>
    <row r="46" spans="1:12" x14ac:dyDescent="0.3">
      <c r="A46" s="2">
        <v>32</v>
      </c>
      <c r="B46" s="3">
        <f t="shared" si="2"/>
        <v>1.0175000000000023</v>
      </c>
      <c r="C46" s="3">
        <f t="shared" si="3"/>
        <v>0.99749999999999972</v>
      </c>
      <c r="D46" s="3">
        <f t="shared" si="4"/>
        <v>1.0050000000000006</v>
      </c>
      <c r="E46" s="1" t="str">
        <f t="shared" si="5"/>
        <v>-</v>
      </c>
      <c r="F46" s="8">
        <f t="shared" si="6"/>
        <v>3.4398034398038826</v>
      </c>
      <c r="G46" s="8">
        <f t="shared" si="6"/>
        <v>0.50125313283214756</v>
      </c>
      <c r="H46" s="8">
        <f t="shared" si="6"/>
        <v>0.99502487562200137</v>
      </c>
      <c r="J46">
        <f t="shared" si="7"/>
        <v>0</v>
      </c>
      <c r="K46">
        <f t="shared" si="7"/>
        <v>0</v>
      </c>
      <c r="L46">
        <f t="shared" si="7"/>
        <v>0</v>
      </c>
    </row>
    <row r="47" spans="1:12" x14ac:dyDescent="0.3">
      <c r="A47" s="2">
        <v>33</v>
      </c>
      <c r="B47" s="3">
        <f t="shared" si="2"/>
        <v>0.98249999999999771</v>
      </c>
      <c r="C47" s="3">
        <f t="shared" si="3"/>
        <v>1.0025000000000004</v>
      </c>
      <c r="D47" s="3">
        <f t="shared" si="4"/>
        <v>0.99499999999999944</v>
      </c>
      <c r="E47" s="1" t="str">
        <f t="shared" si="5"/>
        <v>-</v>
      </c>
      <c r="F47" s="8">
        <f t="shared" si="6"/>
        <v>3.5623409669215942</v>
      </c>
      <c r="G47" s="8">
        <f t="shared" si="6"/>
        <v>0.49875311720704923</v>
      </c>
      <c r="H47" s="8">
        <f t="shared" si="6"/>
        <v>1.0050251256282539</v>
      </c>
      <c r="J47">
        <f t="shared" si="7"/>
        <v>0</v>
      </c>
      <c r="K47">
        <f t="shared" si="7"/>
        <v>0</v>
      </c>
      <c r="L47">
        <f t="shared" si="7"/>
        <v>0</v>
      </c>
    </row>
    <row r="48" spans="1:12" x14ac:dyDescent="0.3">
      <c r="A48" s="2">
        <v>34</v>
      </c>
      <c r="B48" s="3">
        <f t="shared" si="2"/>
        <v>1.0175000000000023</v>
      </c>
      <c r="C48" s="3">
        <f t="shared" si="3"/>
        <v>0.99749999999999972</v>
      </c>
      <c r="D48" s="3">
        <f t="shared" si="4"/>
        <v>1.0050000000000006</v>
      </c>
      <c r="E48" s="1" t="str">
        <f t="shared" si="5"/>
        <v>-</v>
      </c>
      <c r="F48" s="8">
        <f t="shared" si="6"/>
        <v>3.4398034398038826</v>
      </c>
      <c r="G48" s="8">
        <f t="shared" si="6"/>
        <v>0.50125313283214756</v>
      </c>
      <c r="H48" s="8">
        <f t="shared" si="6"/>
        <v>0.99502487562200137</v>
      </c>
      <c r="J48">
        <f t="shared" si="7"/>
        <v>0</v>
      </c>
      <c r="K48">
        <f t="shared" si="7"/>
        <v>0</v>
      </c>
      <c r="L48">
        <f t="shared" si="7"/>
        <v>0</v>
      </c>
    </row>
    <row r="49" spans="1:12" x14ac:dyDescent="0.3">
      <c r="A49" s="2">
        <v>35</v>
      </c>
      <c r="B49" s="3">
        <f t="shared" si="2"/>
        <v>0.98249999999999771</v>
      </c>
      <c r="C49" s="3">
        <f t="shared" si="3"/>
        <v>1.0025000000000004</v>
      </c>
      <c r="D49" s="3">
        <f t="shared" si="4"/>
        <v>0.99499999999999944</v>
      </c>
      <c r="E49" s="1" t="str">
        <f t="shared" si="5"/>
        <v>-</v>
      </c>
      <c r="F49" s="8">
        <f t="shared" si="6"/>
        <v>3.5623409669215942</v>
      </c>
      <c r="G49" s="8">
        <f t="shared" si="6"/>
        <v>0.49875311720704923</v>
      </c>
      <c r="H49" s="8">
        <f t="shared" si="6"/>
        <v>1.0050251256282539</v>
      </c>
      <c r="J49">
        <f t="shared" si="7"/>
        <v>0</v>
      </c>
      <c r="K49">
        <f t="shared" si="7"/>
        <v>0</v>
      </c>
      <c r="L49">
        <f t="shared" si="7"/>
        <v>0</v>
      </c>
    </row>
    <row r="50" spans="1:12" x14ac:dyDescent="0.3">
      <c r="A50" s="2">
        <v>36</v>
      </c>
      <c r="B50" s="3">
        <f t="shared" si="2"/>
        <v>1.0175000000000023</v>
      </c>
      <c r="C50" s="3">
        <f t="shared" si="3"/>
        <v>0.99749999999999972</v>
      </c>
      <c r="D50" s="3">
        <f t="shared" si="4"/>
        <v>1.0050000000000006</v>
      </c>
      <c r="E50" s="1" t="str">
        <f t="shared" si="5"/>
        <v>-</v>
      </c>
      <c r="F50" s="8">
        <f t="shared" si="6"/>
        <v>3.4398034398038826</v>
      </c>
      <c r="G50" s="8">
        <f t="shared" si="6"/>
        <v>0.50125313283214756</v>
      </c>
      <c r="H50" s="8">
        <f t="shared" si="6"/>
        <v>0.99502487562200137</v>
      </c>
      <c r="J50">
        <f t="shared" si="7"/>
        <v>0</v>
      </c>
      <c r="K50">
        <f t="shared" si="7"/>
        <v>0</v>
      </c>
      <c r="L50">
        <f t="shared" si="7"/>
        <v>0</v>
      </c>
    </row>
    <row r="51" spans="1:12" x14ac:dyDescent="0.3">
      <c r="A51" s="2">
        <v>37</v>
      </c>
      <c r="B51" s="3">
        <f t="shared" si="2"/>
        <v>0.98249999999999771</v>
      </c>
      <c r="C51" s="3">
        <f t="shared" si="3"/>
        <v>1.0025000000000004</v>
      </c>
      <c r="D51" s="3">
        <f t="shared" si="4"/>
        <v>0.99499999999999944</v>
      </c>
      <c r="E51" s="1" t="str">
        <f t="shared" si="5"/>
        <v>-</v>
      </c>
      <c r="F51" s="8">
        <f t="shared" si="6"/>
        <v>3.5623409669215942</v>
      </c>
      <c r="G51" s="8">
        <f t="shared" si="6"/>
        <v>0.49875311720704923</v>
      </c>
      <c r="H51" s="8">
        <f t="shared" si="6"/>
        <v>1.0050251256282539</v>
      </c>
      <c r="J51">
        <f t="shared" si="7"/>
        <v>0</v>
      </c>
      <c r="K51">
        <f t="shared" si="7"/>
        <v>0</v>
      </c>
      <c r="L51">
        <f t="shared" si="7"/>
        <v>0</v>
      </c>
    </row>
    <row r="52" spans="1:12" x14ac:dyDescent="0.3">
      <c r="A52" s="2">
        <v>38</v>
      </c>
      <c r="B52" s="3">
        <f t="shared" si="2"/>
        <v>1.0175000000000023</v>
      </c>
      <c r="C52" s="3">
        <f t="shared" si="3"/>
        <v>0.99749999999999972</v>
      </c>
      <c r="D52" s="3">
        <f t="shared" si="4"/>
        <v>1.0050000000000006</v>
      </c>
      <c r="E52" s="1" t="str">
        <f t="shared" si="5"/>
        <v>-</v>
      </c>
      <c r="F52" s="8">
        <f t="shared" si="6"/>
        <v>3.4398034398038826</v>
      </c>
      <c r="G52" s="8">
        <f t="shared" si="6"/>
        <v>0.50125313283214756</v>
      </c>
      <c r="H52" s="8">
        <f t="shared" si="6"/>
        <v>0.99502487562200137</v>
      </c>
      <c r="J52">
        <f t="shared" si="7"/>
        <v>0</v>
      </c>
      <c r="K52">
        <f t="shared" si="7"/>
        <v>0</v>
      </c>
      <c r="L52">
        <f t="shared" si="7"/>
        <v>0</v>
      </c>
    </row>
    <row r="53" spans="1:12" x14ac:dyDescent="0.3">
      <c r="A53" s="2">
        <v>39</v>
      </c>
      <c r="B53" s="3">
        <f t="shared" si="2"/>
        <v>0.98249999999999771</v>
      </c>
      <c r="C53" s="3">
        <f t="shared" si="3"/>
        <v>1.0025000000000004</v>
      </c>
      <c r="D53" s="3">
        <f t="shared" si="4"/>
        <v>0.99499999999999944</v>
      </c>
      <c r="E53" s="1" t="str">
        <f t="shared" si="5"/>
        <v>-</v>
      </c>
      <c r="F53" s="8">
        <f t="shared" si="6"/>
        <v>3.5623409669215942</v>
      </c>
      <c r="G53" s="8">
        <f t="shared" si="6"/>
        <v>0.49875311720704923</v>
      </c>
      <c r="H53" s="8">
        <f t="shared" si="6"/>
        <v>1.0050251256282539</v>
      </c>
      <c r="J53">
        <f t="shared" si="7"/>
        <v>0</v>
      </c>
      <c r="K53">
        <f t="shared" si="7"/>
        <v>0</v>
      </c>
      <c r="L53">
        <f t="shared" si="7"/>
        <v>0</v>
      </c>
    </row>
    <row r="54" spans="1:12" x14ac:dyDescent="0.3">
      <c r="A54" s="2">
        <v>40</v>
      </c>
      <c r="B54" s="3">
        <f t="shared" si="2"/>
        <v>1.0175000000000023</v>
      </c>
      <c r="C54" s="3">
        <f t="shared" si="3"/>
        <v>0.99749999999999972</v>
      </c>
      <c r="D54" s="3">
        <f t="shared" si="4"/>
        <v>1.0050000000000006</v>
      </c>
      <c r="E54" s="1" t="str">
        <f t="shared" si="5"/>
        <v>-</v>
      </c>
      <c r="F54" s="8">
        <f t="shared" si="6"/>
        <v>3.4398034398038826</v>
      </c>
      <c r="G54" s="8">
        <f t="shared" si="6"/>
        <v>0.50125313283214756</v>
      </c>
      <c r="H54" s="8">
        <f t="shared" si="6"/>
        <v>0.99502487562200137</v>
      </c>
      <c r="J54">
        <f t="shared" si="7"/>
        <v>0</v>
      </c>
      <c r="K54">
        <f t="shared" si="7"/>
        <v>0</v>
      </c>
      <c r="L54">
        <f t="shared" si="7"/>
        <v>0</v>
      </c>
    </row>
    <row r="55" spans="1:12" x14ac:dyDescent="0.3">
      <c r="A55" s="2">
        <v>41</v>
      </c>
      <c r="B55" s="3">
        <f t="shared" si="2"/>
        <v>0.98249999999999771</v>
      </c>
      <c r="C55" s="3">
        <f t="shared" si="3"/>
        <v>1.0025000000000004</v>
      </c>
      <c r="D55" s="3">
        <f t="shared" si="4"/>
        <v>0.99499999999999944</v>
      </c>
      <c r="E55" s="1" t="str">
        <f t="shared" si="5"/>
        <v>-</v>
      </c>
      <c r="F55" s="8">
        <f t="shared" si="6"/>
        <v>3.5623409669215942</v>
      </c>
      <c r="G55" s="8">
        <f t="shared" si="6"/>
        <v>0.49875311720704923</v>
      </c>
      <c r="H55" s="8">
        <f t="shared" si="6"/>
        <v>1.0050251256282539</v>
      </c>
      <c r="J55">
        <f t="shared" si="7"/>
        <v>0</v>
      </c>
      <c r="K55">
        <f t="shared" si="7"/>
        <v>0</v>
      </c>
      <c r="L55">
        <f t="shared" si="7"/>
        <v>0</v>
      </c>
    </row>
    <row r="56" spans="1:12" x14ac:dyDescent="0.3">
      <c r="A56" s="2">
        <v>42</v>
      </c>
      <c r="B56" s="3">
        <f t="shared" si="2"/>
        <v>1.0175000000000023</v>
      </c>
      <c r="C56" s="3">
        <f t="shared" si="3"/>
        <v>0.99749999999999972</v>
      </c>
      <c r="D56" s="3">
        <f t="shared" si="4"/>
        <v>1.0050000000000006</v>
      </c>
      <c r="E56" s="1" t="str">
        <f t="shared" si="5"/>
        <v>-</v>
      </c>
      <c r="F56" s="8">
        <f t="shared" si="6"/>
        <v>3.4398034398038826</v>
      </c>
      <c r="G56" s="8">
        <f t="shared" si="6"/>
        <v>0.50125313283214756</v>
      </c>
      <c r="H56" s="8">
        <f t="shared" si="6"/>
        <v>0.99502487562200137</v>
      </c>
      <c r="J56">
        <f t="shared" si="7"/>
        <v>0</v>
      </c>
      <c r="K56">
        <f t="shared" si="7"/>
        <v>0</v>
      </c>
      <c r="L56">
        <f t="shared" si="7"/>
        <v>0</v>
      </c>
    </row>
    <row r="57" spans="1:12" x14ac:dyDescent="0.3">
      <c r="A57" s="2">
        <v>43</v>
      </c>
      <c r="B57" s="3">
        <f t="shared" si="2"/>
        <v>0.98249999999999771</v>
      </c>
      <c r="C57" s="3">
        <f t="shared" si="3"/>
        <v>1.0025000000000004</v>
      </c>
      <c r="D57" s="3">
        <f t="shared" si="4"/>
        <v>0.99499999999999944</v>
      </c>
      <c r="E57" s="1" t="str">
        <f t="shared" si="5"/>
        <v>-</v>
      </c>
      <c r="F57" s="8">
        <f t="shared" si="6"/>
        <v>3.5623409669215942</v>
      </c>
      <c r="G57" s="8">
        <f t="shared" si="6"/>
        <v>0.49875311720704923</v>
      </c>
      <c r="H57" s="8">
        <f t="shared" si="6"/>
        <v>1.0050251256282539</v>
      </c>
      <c r="J57">
        <f t="shared" si="7"/>
        <v>0</v>
      </c>
      <c r="K57">
        <f t="shared" si="7"/>
        <v>0</v>
      </c>
      <c r="L57">
        <f t="shared" si="7"/>
        <v>0</v>
      </c>
    </row>
    <row r="58" spans="1:12" x14ac:dyDescent="0.3">
      <c r="A58" s="2">
        <v>44</v>
      </c>
      <c r="B58" s="3">
        <f t="shared" si="2"/>
        <v>1.0175000000000023</v>
      </c>
      <c r="C58" s="3">
        <f t="shared" si="3"/>
        <v>0.99749999999999972</v>
      </c>
      <c r="D58" s="3">
        <f t="shared" si="4"/>
        <v>1.0050000000000006</v>
      </c>
      <c r="E58" s="1" t="str">
        <f t="shared" si="5"/>
        <v>-</v>
      </c>
      <c r="F58" s="8">
        <f t="shared" si="6"/>
        <v>3.4398034398038826</v>
      </c>
      <c r="G58" s="8">
        <f t="shared" si="6"/>
        <v>0.50125313283214756</v>
      </c>
      <c r="H58" s="8">
        <f t="shared" si="6"/>
        <v>0.99502487562200137</v>
      </c>
      <c r="J58">
        <f t="shared" si="7"/>
        <v>0</v>
      </c>
      <c r="K58">
        <f t="shared" si="7"/>
        <v>0</v>
      </c>
      <c r="L58">
        <f t="shared" si="7"/>
        <v>0</v>
      </c>
    </row>
    <row r="59" spans="1:12" x14ac:dyDescent="0.3">
      <c r="A59" s="2">
        <v>45</v>
      </c>
      <c r="B59" s="3">
        <f t="shared" si="2"/>
        <v>0.98249999999999771</v>
      </c>
      <c r="C59" s="3">
        <f t="shared" si="3"/>
        <v>1.0025000000000004</v>
      </c>
      <c r="D59" s="3">
        <f t="shared" si="4"/>
        <v>0.99499999999999944</v>
      </c>
      <c r="E59" s="1" t="str">
        <f t="shared" si="5"/>
        <v>-</v>
      </c>
      <c r="F59" s="8">
        <f t="shared" si="6"/>
        <v>3.5623409669215942</v>
      </c>
      <c r="G59" s="8">
        <f t="shared" si="6"/>
        <v>0.49875311720704923</v>
      </c>
      <c r="H59" s="8">
        <f t="shared" si="6"/>
        <v>1.0050251256282539</v>
      </c>
      <c r="J59">
        <f t="shared" si="7"/>
        <v>0</v>
      </c>
      <c r="K59">
        <f t="shared" si="7"/>
        <v>0</v>
      </c>
      <c r="L59">
        <f t="shared" si="7"/>
        <v>0</v>
      </c>
    </row>
    <row r="60" spans="1:12" x14ac:dyDescent="0.3">
      <c r="A60" s="2">
        <v>46</v>
      </c>
      <c r="B60" s="3">
        <f t="shared" si="2"/>
        <v>1.0175000000000023</v>
      </c>
      <c r="C60" s="3">
        <f t="shared" si="3"/>
        <v>0.99749999999999972</v>
      </c>
      <c r="D60" s="3">
        <f t="shared" si="4"/>
        <v>1.0050000000000006</v>
      </c>
      <c r="E60" s="1" t="str">
        <f t="shared" si="5"/>
        <v>-</v>
      </c>
      <c r="F60" s="8">
        <f t="shared" si="6"/>
        <v>3.4398034398038826</v>
      </c>
      <c r="G60" s="8">
        <f t="shared" si="6"/>
        <v>0.50125313283214756</v>
      </c>
      <c r="H60" s="8">
        <f t="shared" si="6"/>
        <v>0.99502487562200137</v>
      </c>
      <c r="J60">
        <f t="shared" si="7"/>
        <v>0</v>
      </c>
      <c r="K60">
        <f t="shared" si="7"/>
        <v>0</v>
      </c>
      <c r="L60">
        <f t="shared" si="7"/>
        <v>0</v>
      </c>
    </row>
    <row r="61" spans="1:12" x14ac:dyDescent="0.3">
      <c r="A61" s="2">
        <v>47</v>
      </c>
      <c r="B61" s="3">
        <f t="shared" si="2"/>
        <v>0.98249999999999771</v>
      </c>
      <c r="C61" s="3">
        <f t="shared" si="3"/>
        <v>1.0025000000000004</v>
      </c>
      <c r="D61" s="3">
        <f t="shared" si="4"/>
        <v>0.99499999999999944</v>
      </c>
      <c r="E61" s="1" t="str">
        <f t="shared" si="5"/>
        <v>-</v>
      </c>
      <c r="F61" s="8">
        <f t="shared" si="6"/>
        <v>3.5623409669215942</v>
      </c>
      <c r="G61" s="8">
        <f t="shared" si="6"/>
        <v>0.49875311720704923</v>
      </c>
      <c r="H61" s="8">
        <f t="shared" si="6"/>
        <v>1.0050251256282539</v>
      </c>
      <c r="J61">
        <f t="shared" si="7"/>
        <v>0</v>
      </c>
      <c r="K61">
        <f t="shared" si="7"/>
        <v>0</v>
      </c>
      <c r="L61">
        <f t="shared" si="7"/>
        <v>0</v>
      </c>
    </row>
    <row r="62" spans="1:12" x14ac:dyDescent="0.3">
      <c r="A62" s="2">
        <v>48</v>
      </c>
      <c r="B62" s="3">
        <f t="shared" si="2"/>
        <v>1.0175000000000023</v>
      </c>
      <c r="C62" s="3">
        <f t="shared" si="3"/>
        <v>0.99749999999999972</v>
      </c>
      <c r="D62" s="3">
        <f t="shared" si="4"/>
        <v>1.0050000000000006</v>
      </c>
      <c r="E62" s="1" t="str">
        <f t="shared" si="5"/>
        <v>-</v>
      </c>
      <c r="F62" s="8">
        <f t="shared" si="6"/>
        <v>3.4398034398038826</v>
      </c>
      <c r="G62" s="8">
        <f t="shared" si="6"/>
        <v>0.50125313283214756</v>
      </c>
      <c r="H62" s="8">
        <f t="shared" si="6"/>
        <v>0.99502487562200137</v>
      </c>
      <c r="J62">
        <f t="shared" si="7"/>
        <v>0</v>
      </c>
      <c r="K62">
        <f t="shared" si="7"/>
        <v>0</v>
      </c>
      <c r="L62">
        <f t="shared" si="7"/>
        <v>0</v>
      </c>
    </row>
    <row r="63" spans="1:12" x14ac:dyDescent="0.3">
      <c r="A63" s="2">
        <v>49</v>
      </c>
      <c r="B63" s="3">
        <f t="shared" si="2"/>
        <v>0.98249999999999771</v>
      </c>
      <c r="C63" s="3">
        <f t="shared" si="3"/>
        <v>1.0025000000000004</v>
      </c>
      <c r="D63" s="3">
        <f t="shared" si="4"/>
        <v>0.99499999999999944</v>
      </c>
      <c r="E63" s="1" t="str">
        <f t="shared" si="5"/>
        <v>-</v>
      </c>
      <c r="F63" s="8">
        <f t="shared" si="6"/>
        <v>3.5623409669215942</v>
      </c>
      <c r="G63" s="8">
        <f t="shared" si="6"/>
        <v>0.49875311720704923</v>
      </c>
      <c r="H63" s="8">
        <f t="shared" si="6"/>
        <v>1.0050251256282539</v>
      </c>
      <c r="J63">
        <f t="shared" si="7"/>
        <v>0</v>
      </c>
      <c r="K63">
        <f t="shared" si="7"/>
        <v>0</v>
      </c>
      <c r="L63">
        <f t="shared" si="7"/>
        <v>0</v>
      </c>
    </row>
    <row r="64" spans="1:12" x14ac:dyDescent="0.3">
      <c r="A64" s="2">
        <v>50</v>
      </c>
      <c r="B64" s="3">
        <f t="shared" si="2"/>
        <v>1.0175000000000023</v>
      </c>
      <c r="C64" s="3">
        <f t="shared" si="3"/>
        <v>0.99749999999999972</v>
      </c>
      <c r="D64" s="3">
        <f t="shared" si="4"/>
        <v>1.0050000000000006</v>
      </c>
      <c r="E64" s="1" t="str">
        <f t="shared" si="5"/>
        <v>-</v>
      </c>
      <c r="F64" s="8">
        <f t="shared" si="6"/>
        <v>3.4398034398038826</v>
      </c>
      <c r="G64" s="8">
        <f t="shared" si="6"/>
        <v>0.50125313283214756</v>
      </c>
      <c r="H64" s="8">
        <f t="shared" si="6"/>
        <v>0.99502487562200137</v>
      </c>
      <c r="J64">
        <f t="shared" si="7"/>
        <v>0</v>
      </c>
      <c r="K64">
        <f t="shared" si="7"/>
        <v>0</v>
      </c>
      <c r="L64">
        <f t="shared" si="7"/>
        <v>0</v>
      </c>
    </row>
    <row r="65" spans="1:12" x14ac:dyDescent="0.3">
      <c r="A65" s="2">
        <v>51</v>
      </c>
      <c r="B65" s="3">
        <f t="shared" si="2"/>
        <v>0.98249999999999771</v>
      </c>
      <c r="C65" s="3">
        <f t="shared" si="3"/>
        <v>1.0025000000000004</v>
      </c>
      <c r="D65" s="3">
        <f t="shared" si="4"/>
        <v>0.99499999999999944</v>
      </c>
      <c r="E65" s="1" t="str">
        <f t="shared" si="5"/>
        <v>-</v>
      </c>
      <c r="F65" s="8">
        <f t="shared" si="6"/>
        <v>3.5623409669215942</v>
      </c>
      <c r="G65" s="8">
        <f t="shared" si="6"/>
        <v>0.49875311720704923</v>
      </c>
      <c r="H65" s="8">
        <f t="shared" si="6"/>
        <v>1.0050251256282539</v>
      </c>
      <c r="J65">
        <f t="shared" si="7"/>
        <v>0</v>
      </c>
      <c r="K65">
        <f t="shared" si="7"/>
        <v>0</v>
      </c>
      <c r="L65">
        <f t="shared" si="7"/>
        <v>0</v>
      </c>
    </row>
    <row r="66" spans="1:12" x14ac:dyDescent="0.3">
      <c r="A66" s="2">
        <v>52</v>
      </c>
      <c r="B66" s="3">
        <f t="shared" si="2"/>
        <v>1.0175000000000023</v>
      </c>
      <c r="C66" s="3">
        <f t="shared" si="3"/>
        <v>0.99749999999999972</v>
      </c>
      <c r="D66" s="3">
        <f t="shared" si="4"/>
        <v>1.0050000000000006</v>
      </c>
      <c r="E66" s="1" t="str">
        <f t="shared" si="5"/>
        <v>-</v>
      </c>
      <c r="F66" s="8">
        <f t="shared" si="6"/>
        <v>3.4398034398038826</v>
      </c>
      <c r="G66" s="8">
        <f t="shared" si="6"/>
        <v>0.50125313283214756</v>
      </c>
      <c r="H66" s="8">
        <f t="shared" si="6"/>
        <v>0.99502487562200137</v>
      </c>
      <c r="J66">
        <f t="shared" si="7"/>
        <v>0</v>
      </c>
      <c r="K66">
        <f t="shared" si="7"/>
        <v>0</v>
      </c>
      <c r="L66">
        <f t="shared" si="7"/>
        <v>0</v>
      </c>
    </row>
    <row r="67" spans="1:12" x14ac:dyDescent="0.3">
      <c r="A67" s="2">
        <v>53</v>
      </c>
      <c r="B67" s="3">
        <f t="shared" si="2"/>
        <v>0.98249999999999771</v>
      </c>
      <c r="C67" s="3">
        <f t="shared" si="3"/>
        <v>1.0025000000000004</v>
      </c>
      <c r="D67" s="3">
        <f t="shared" si="4"/>
        <v>0.99499999999999944</v>
      </c>
      <c r="E67" s="1" t="str">
        <f t="shared" si="5"/>
        <v>-</v>
      </c>
      <c r="F67" s="8">
        <f t="shared" si="6"/>
        <v>3.5623409669215942</v>
      </c>
      <c r="G67" s="8">
        <f t="shared" si="6"/>
        <v>0.49875311720704923</v>
      </c>
      <c r="H67" s="8">
        <f t="shared" si="6"/>
        <v>1.0050251256282539</v>
      </c>
      <c r="J67">
        <f t="shared" si="7"/>
        <v>0</v>
      </c>
      <c r="K67">
        <f t="shared" si="7"/>
        <v>0</v>
      </c>
      <c r="L67">
        <f t="shared" si="7"/>
        <v>0</v>
      </c>
    </row>
    <row r="68" spans="1:12" x14ac:dyDescent="0.3">
      <c r="A68" s="2">
        <v>54</v>
      </c>
      <c r="B68" s="3">
        <f t="shared" si="2"/>
        <v>1.0175000000000023</v>
      </c>
      <c r="C68" s="3">
        <f t="shared" si="3"/>
        <v>0.99749999999999972</v>
      </c>
      <c r="D68" s="3">
        <f t="shared" si="4"/>
        <v>1.0050000000000006</v>
      </c>
      <c r="E68" s="1" t="str">
        <f t="shared" si="5"/>
        <v>-</v>
      </c>
      <c r="F68" s="8">
        <f t="shared" si="6"/>
        <v>3.4398034398038826</v>
      </c>
      <c r="G68" s="8">
        <f t="shared" si="6"/>
        <v>0.50125313283214756</v>
      </c>
      <c r="H68" s="8">
        <f t="shared" si="6"/>
        <v>0.99502487562200137</v>
      </c>
      <c r="J68">
        <f t="shared" si="7"/>
        <v>0</v>
      </c>
      <c r="K68">
        <f t="shared" si="7"/>
        <v>0</v>
      </c>
      <c r="L68">
        <f t="shared" si="7"/>
        <v>0</v>
      </c>
    </row>
    <row r="69" spans="1:12" x14ac:dyDescent="0.3">
      <c r="A69" s="2">
        <v>55</v>
      </c>
      <c r="B69" s="3">
        <f t="shared" si="2"/>
        <v>0.98249999999999771</v>
      </c>
      <c r="C69" s="3">
        <f t="shared" si="3"/>
        <v>1.0025000000000004</v>
      </c>
      <c r="D69" s="3">
        <f t="shared" si="4"/>
        <v>0.99499999999999944</v>
      </c>
      <c r="E69" s="1" t="str">
        <f t="shared" si="5"/>
        <v>-</v>
      </c>
      <c r="F69" s="8">
        <f t="shared" si="6"/>
        <v>3.5623409669215942</v>
      </c>
      <c r="G69" s="8">
        <f t="shared" si="6"/>
        <v>0.49875311720704923</v>
      </c>
      <c r="H69" s="8">
        <f t="shared" si="6"/>
        <v>1.0050251256282539</v>
      </c>
      <c r="J69">
        <f t="shared" si="7"/>
        <v>0</v>
      </c>
      <c r="K69">
        <f t="shared" si="7"/>
        <v>0</v>
      </c>
      <c r="L69">
        <f t="shared" si="7"/>
        <v>0</v>
      </c>
    </row>
    <row r="70" spans="1:12" x14ac:dyDescent="0.3">
      <c r="A70" s="2">
        <v>56</v>
      </c>
      <c r="B70" s="3">
        <f t="shared" si="2"/>
        <v>1.0175000000000023</v>
      </c>
      <c r="C70" s="3">
        <f t="shared" si="3"/>
        <v>0.99749999999999972</v>
      </c>
      <c r="D70" s="3">
        <f t="shared" si="4"/>
        <v>1.0050000000000006</v>
      </c>
      <c r="E70" s="1" t="str">
        <f t="shared" si="5"/>
        <v>-</v>
      </c>
      <c r="F70" s="8">
        <f t="shared" si="6"/>
        <v>3.4398034398038826</v>
      </c>
      <c r="G70" s="8">
        <f t="shared" si="6"/>
        <v>0.50125313283214756</v>
      </c>
      <c r="H70" s="8">
        <f t="shared" si="6"/>
        <v>0.99502487562200137</v>
      </c>
      <c r="J70">
        <f t="shared" si="7"/>
        <v>0</v>
      </c>
      <c r="K70">
        <f t="shared" si="7"/>
        <v>0</v>
      </c>
      <c r="L70">
        <f t="shared" si="7"/>
        <v>0</v>
      </c>
    </row>
    <row r="71" spans="1:12" x14ac:dyDescent="0.3">
      <c r="A71" s="2">
        <v>57</v>
      </c>
      <c r="B71" s="3">
        <f t="shared" si="2"/>
        <v>0.98249999999999771</v>
      </c>
      <c r="C71" s="3">
        <f t="shared" si="3"/>
        <v>1.0025000000000004</v>
      </c>
      <c r="D71" s="3">
        <f t="shared" si="4"/>
        <v>0.99499999999999944</v>
      </c>
      <c r="E71" s="1" t="str">
        <f t="shared" si="5"/>
        <v>-</v>
      </c>
      <c r="F71" s="8">
        <f t="shared" si="6"/>
        <v>3.5623409669215942</v>
      </c>
      <c r="G71" s="8">
        <f t="shared" si="6"/>
        <v>0.49875311720704923</v>
      </c>
      <c r="H71" s="8">
        <f t="shared" si="6"/>
        <v>1.0050251256282539</v>
      </c>
      <c r="J71">
        <f t="shared" si="7"/>
        <v>0</v>
      </c>
      <c r="K71">
        <f t="shared" si="7"/>
        <v>0</v>
      </c>
      <c r="L71">
        <f t="shared" si="7"/>
        <v>0</v>
      </c>
    </row>
    <row r="72" spans="1:12" x14ac:dyDescent="0.3">
      <c r="A72" s="2">
        <v>58</v>
      </c>
      <c r="B72" s="3">
        <f t="shared" si="2"/>
        <v>1.0175000000000023</v>
      </c>
      <c r="C72" s="3">
        <f t="shared" si="3"/>
        <v>0.99749999999999972</v>
      </c>
      <c r="D72" s="3">
        <f t="shared" si="4"/>
        <v>1.0050000000000006</v>
      </c>
      <c r="E72" s="1" t="str">
        <f t="shared" si="5"/>
        <v>-</v>
      </c>
      <c r="F72" s="8">
        <f t="shared" si="6"/>
        <v>3.4398034398038826</v>
      </c>
      <c r="G72" s="8">
        <f t="shared" si="6"/>
        <v>0.50125313283214756</v>
      </c>
      <c r="H72" s="8">
        <f t="shared" si="6"/>
        <v>0.99502487562200137</v>
      </c>
      <c r="J72">
        <f t="shared" si="7"/>
        <v>0</v>
      </c>
      <c r="K72">
        <f t="shared" si="7"/>
        <v>0</v>
      </c>
      <c r="L72">
        <f t="shared" si="7"/>
        <v>0</v>
      </c>
    </row>
    <row r="73" spans="1:12" x14ac:dyDescent="0.3">
      <c r="A73" s="2">
        <v>59</v>
      </c>
      <c r="B73" s="3">
        <f t="shared" si="2"/>
        <v>0.98249999999999771</v>
      </c>
      <c r="C73" s="3">
        <f t="shared" si="3"/>
        <v>1.0025000000000004</v>
      </c>
      <c r="D73" s="3">
        <f t="shared" si="4"/>
        <v>0.99499999999999944</v>
      </c>
      <c r="E73" s="1" t="str">
        <f t="shared" si="5"/>
        <v>-</v>
      </c>
      <c r="F73" s="8">
        <f t="shared" si="6"/>
        <v>3.5623409669215942</v>
      </c>
      <c r="G73" s="8">
        <f t="shared" si="6"/>
        <v>0.49875311720704923</v>
      </c>
      <c r="H73" s="8">
        <f t="shared" si="6"/>
        <v>1.0050251256282539</v>
      </c>
      <c r="J73">
        <f t="shared" si="7"/>
        <v>0</v>
      </c>
      <c r="K73">
        <f t="shared" si="7"/>
        <v>0</v>
      </c>
      <c r="L73">
        <f t="shared" si="7"/>
        <v>0</v>
      </c>
    </row>
    <row r="74" spans="1:12" x14ac:dyDescent="0.3">
      <c r="A74" s="2">
        <v>60</v>
      </c>
      <c r="B74" s="3">
        <f t="shared" si="2"/>
        <v>1.0175000000000023</v>
      </c>
      <c r="C74" s="3">
        <f t="shared" si="3"/>
        <v>0.99749999999999972</v>
      </c>
      <c r="D74" s="3">
        <f t="shared" si="4"/>
        <v>1.0050000000000006</v>
      </c>
      <c r="E74" s="1" t="str">
        <f t="shared" si="5"/>
        <v>-</v>
      </c>
      <c r="F74" s="8">
        <f t="shared" si="6"/>
        <v>3.4398034398038826</v>
      </c>
      <c r="G74" s="8">
        <f t="shared" si="6"/>
        <v>0.50125313283214756</v>
      </c>
      <c r="H74" s="8">
        <f t="shared" si="6"/>
        <v>0.99502487562200137</v>
      </c>
      <c r="J74">
        <f t="shared" si="7"/>
        <v>0</v>
      </c>
      <c r="K74">
        <f t="shared" si="7"/>
        <v>0</v>
      </c>
      <c r="L74">
        <f t="shared" si="7"/>
        <v>0</v>
      </c>
    </row>
    <row r="75" spans="1:12" x14ac:dyDescent="0.3">
      <c r="A75" s="2">
        <v>61</v>
      </c>
      <c r="B75" s="3">
        <f t="shared" si="2"/>
        <v>0.98249999999999771</v>
      </c>
      <c r="C75" s="3">
        <f t="shared" si="3"/>
        <v>1.0025000000000004</v>
      </c>
      <c r="D75" s="3">
        <f t="shared" si="4"/>
        <v>0.99499999999999944</v>
      </c>
      <c r="E75" s="1" t="str">
        <f t="shared" si="5"/>
        <v>-</v>
      </c>
      <c r="F75" s="8">
        <f t="shared" si="6"/>
        <v>3.5623409669215942</v>
      </c>
      <c r="G75" s="8">
        <f t="shared" si="6"/>
        <v>0.49875311720704923</v>
      </c>
      <c r="H75" s="8">
        <f t="shared" si="6"/>
        <v>1.0050251256282539</v>
      </c>
      <c r="J75">
        <f t="shared" si="7"/>
        <v>0</v>
      </c>
      <c r="K75">
        <f t="shared" si="7"/>
        <v>0</v>
      </c>
      <c r="L75">
        <f t="shared" si="7"/>
        <v>0</v>
      </c>
    </row>
    <row r="76" spans="1:12" x14ac:dyDescent="0.3">
      <c r="A76" s="2">
        <v>62</v>
      </c>
      <c r="B76" s="3">
        <f t="shared" si="2"/>
        <v>1.0175000000000023</v>
      </c>
      <c r="C76" s="3">
        <f t="shared" si="3"/>
        <v>0.99749999999999972</v>
      </c>
      <c r="D76" s="3">
        <f t="shared" si="4"/>
        <v>1.0050000000000006</v>
      </c>
      <c r="E76" s="1" t="str">
        <f t="shared" si="5"/>
        <v>-</v>
      </c>
      <c r="F76" s="8">
        <f t="shared" si="6"/>
        <v>3.4398034398038826</v>
      </c>
      <c r="G76" s="8">
        <f t="shared" si="6"/>
        <v>0.50125313283214756</v>
      </c>
      <c r="H76" s="8">
        <f t="shared" si="6"/>
        <v>0.99502487562200137</v>
      </c>
      <c r="J76">
        <f t="shared" si="7"/>
        <v>0</v>
      </c>
      <c r="K76">
        <f t="shared" si="7"/>
        <v>0</v>
      </c>
      <c r="L76">
        <f t="shared" si="7"/>
        <v>0</v>
      </c>
    </row>
    <row r="77" spans="1:12" x14ac:dyDescent="0.3">
      <c r="A77" s="2">
        <v>63</v>
      </c>
      <c r="B77" s="3">
        <f t="shared" si="2"/>
        <v>0.98249999999999771</v>
      </c>
      <c r="C77" s="3">
        <f t="shared" si="3"/>
        <v>1.0025000000000004</v>
      </c>
      <c r="D77" s="3">
        <f t="shared" si="4"/>
        <v>0.99499999999999944</v>
      </c>
      <c r="E77" s="1" t="str">
        <f t="shared" si="5"/>
        <v>-</v>
      </c>
      <c r="F77" s="8">
        <f t="shared" si="6"/>
        <v>3.5623409669215942</v>
      </c>
      <c r="G77" s="8">
        <f t="shared" si="6"/>
        <v>0.49875311720704923</v>
      </c>
      <c r="H77" s="8">
        <f t="shared" si="6"/>
        <v>1.0050251256282539</v>
      </c>
      <c r="J77">
        <f t="shared" si="7"/>
        <v>0</v>
      </c>
      <c r="K77">
        <f t="shared" si="7"/>
        <v>0</v>
      </c>
      <c r="L77">
        <f t="shared" si="7"/>
        <v>0</v>
      </c>
    </row>
    <row r="78" spans="1:12" x14ac:dyDescent="0.3">
      <c r="A78" s="2">
        <v>64</v>
      </c>
      <c r="B78" s="3">
        <f t="shared" si="2"/>
        <v>1.0175000000000023</v>
      </c>
      <c r="C78" s="3">
        <f t="shared" si="3"/>
        <v>0.99749999999999972</v>
      </c>
      <c r="D78" s="3">
        <f t="shared" si="4"/>
        <v>1.0050000000000006</v>
      </c>
      <c r="E78" s="1" t="str">
        <f t="shared" si="5"/>
        <v>-</v>
      </c>
      <c r="F78" s="8">
        <f t="shared" si="6"/>
        <v>3.4398034398038826</v>
      </c>
      <c r="G78" s="8">
        <f t="shared" si="6"/>
        <v>0.50125313283214756</v>
      </c>
      <c r="H78" s="8">
        <f t="shared" si="6"/>
        <v>0.99502487562200137</v>
      </c>
      <c r="J78">
        <f t="shared" si="7"/>
        <v>0</v>
      </c>
      <c r="K78">
        <f t="shared" si="7"/>
        <v>0</v>
      </c>
      <c r="L78">
        <f t="shared" si="7"/>
        <v>0</v>
      </c>
    </row>
    <row r="79" spans="1:12" x14ac:dyDescent="0.3">
      <c r="A79" s="2">
        <v>65</v>
      </c>
      <c r="B79" s="3">
        <f t="shared" si="2"/>
        <v>0.98249999999999771</v>
      </c>
      <c r="C79" s="3">
        <f t="shared" si="3"/>
        <v>1.0025000000000004</v>
      </c>
      <c r="D79" s="3">
        <f t="shared" si="4"/>
        <v>0.99499999999999944</v>
      </c>
      <c r="E79" s="1" t="str">
        <f t="shared" si="5"/>
        <v>-</v>
      </c>
      <c r="F79" s="8">
        <f t="shared" si="6"/>
        <v>3.5623409669215942</v>
      </c>
      <c r="G79" s="8">
        <f t="shared" si="6"/>
        <v>0.49875311720704923</v>
      </c>
      <c r="H79" s="8">
        <f t="shared" si="6"/>
        <v>1.0050251256282539</v>
      </c>
      <c r="J79">
        <f t="shared" si="7"/>
        <v>0</v>
      </c>
      <c r="K79">
        <f t="shared" si="7"/>
        <v>0</v>
      </c>
      <c r="L79">
        <f t="shared" si="7"/>
        <v>0</v>
      </c>
    </row>
    <row r="80" spans="1:12" x14ac:dyDescent="0.3">
      <c r="A80" s="2">
        <v>66</v>
      </c>
      <c r="B80" s="3">
        <f t="shared" ref="B80:B143" si="8">-1/2*(-3-4*C79+5*D79)</f>
        <v>1.0175000000000023</v>
      </c>
      <c r="C80" s="3">
        <f t="shared" ref="C80:C143" si="9">1/2*(1-0*B80+1*D79)</f>
        <v>0.99749999999999972</v>
      </c>
      <c r="D80" s="3">
        <f t="shared" ref="D80:D143" si="10">1/5*(7+1*B80-3*C80)</f>
        <v>1.0050000000000006</v>
      </c>
      <c r="E80" s="1" t="str">
        <f t="shared" ref="E80:E143" si="11">IF(SUM(F80:H80)&lt;$H$11,"Converged","-")</f>
        <v>-</v>
      </c>
      <c r="F80" s="8">
        <f t="shared" ref="F80:H96" si="12">ABS((B80-B79)/B80)*100</f>
        <v>3.4398034398038826</v>
      </c>
      <c r="G80" s="8">
        <f t="shared" si="12"/>
        <v>0.50125313283214756</v>
      </c>
      <c r="H80" s="8">
        <f t="shared" si="12"/>
        <v>0.99502487562200137</v>
      </c>
      <c r="J80">
        <f t="shared" ref="J80:L96" si="13">IF(F80&lt;$H$11,1,0)</f>
        <v>0</v>
      </c>
      <c r="K80">
        <f t="shared" si="13"/>
        <v>0</v>
      </c>
      <c r="L80">
        <f t="shared" si="13"/>
        <v>0</v>
      </c>
    </row>
    <row r="81" spans="1:12" x14ac:dyDescent="0.3">
      <c r="A81" s="2">
        <v>67</v>
      </c>
      <c r="B81" s="3">
        <f t="shared" si="8"/>
        <v>0.98249999999999771</v>
      </c>
      <c r="C81" s="3">
        <f t="shared" si="9"/>
        <v>1.0025000000000004</v>
      </c>
      <c r="D81" s="3">
        <f t="shared" si="10"/>
        <v>0.99499999999999944</v>
      </c>
      <c r="E81" s="1" t="str">
        <f t="shared" si="11"/>
        <v>-</v>
      </c>
      <c r="F81" s="8">
        <f t="shared" si="12"/>
        <v>3.5623409669215942</v>
      </c>
      <c r="G81" s="8">
        <f t="shared" si="12"/>
        <v>0.49875311720704923</v>
      </c>
      <c r="H81" s="8">
        <f t="shared" si="12"/>
        <v>1.0050251256282539</v>
      </c>
      <c r="J81">
        <f t="shared" si="13"/>
        <v>0</v>
      </c>
      <c r="K81">
        <f t="shared" si="13"/>
        <v>0</v>
      </c>
      <c r="L81">
        <f t="shared" si="13"/>
        <v>0</v>
      </c>
    </row>
    <row r="82" spans="1:12" x14ac:dyDescent="0.3">
      <c r="A82" s="2">
        <v>68</v>
      </c>
      <c r="B82" s="3">
        <f t="shared" si="8"/>
        <v>1.0175000000000023</v>
      </c>
      <c r="C82" s="3">
        <f t="shared" si="9"/>
        <v>0.99749999999999972</v>
      </c>
      <c r="D82" s="3">
        <f t="shared" si="10"/>
        <v>1.0050000000000006</v>
      </c>
      <c r="E82" s="1" t="str">
        <f t="shared" si="11"/>
        <v>-</v>
      </c>
      <c r="F82" s="8">
        <f t="shared" si="12"/>
        <v>3.4398034398038826</v>
      </c>
      <c r="G82" s="8">
        <f t="shared" si="12"/>
        <v>0.50125313283214756</v>
      </c>
      <c r="H82" s="8">
        <f t="shared" si="12"/>
        <v>0.99502487562200137</v>
      </c>
      <c r="J82">
        <f t="shared" si="13"/>
        <v>0</v>
      </c>
      <c r="K82">
        <f t="shared" si="13"/>
        <v>0</v>
      </c>
      <c r="L82">
        <f t="shared" si="13"/>
        <v>0</v>
      </c>
    </row>
    <row r="83" spans="1:12" x14ac:dyDescent="0.3">
      <c r="A83" s="2">
        <v>69</v>
      </c>
      <c r="B83" s="3">
        <f t="shared" si="8"/>
        <v>0.98249999999999771</v>
      </c>
      <c r="C83" s="3">
        <f t="shared" si="9"/>
        <v>1.0025000000000004</v>
      </c>
      <c r="D83" s="3">
        <f t="shared" si="10"/>
        <v>0.99499999999999944</v>
      </c>
      <c r="E83" s="1" t="str">
        <f t="shared" si="11"/>
        <v>-</v>
      </c>
      <c r="F83" s="8">
        <f t="shared" si="12"/>
        <v>3.5623409669215942</v>
      </c>
      <c r="G83" s="8">
        <f t="shared" si="12"/>
        <v>0.49875311720704923</v>
      </c>
      <c r="H83" s="8">
        <f t="shared" si="12"/>
        <v>1.0050251256282539</v>
      </c>
      <c r="J83">
        <f t="shared" si="13"/>
        <v>0</v>
      </c>
      <c r="K83">
        <f t="shared" si="13"/>
        <v>0</v>
      </c>
      <c r="L83">
        <f t="shared" si="13"/>
        <v>0</v>
      </c>
    </row>
    <row r="84" spans="1:12" x14ac:dyDescent="0.3">
      <c r="A84" s="2">
        <v>70</v>
      </c>
      <c r="B84" s="3">
        <f t="shared" si="8"/>
        <v>1.0175000000000023</v>
      </c>
      <c r="C84" s="3">
        <f t="shared" si="9"/>
        <v>0.99749999999999972</v>
      </c>
      <c r="D84" s="3">
        <f t="shared" si="10"/>
        <v>1.0050000000000006</v>
      </c>
      <c r="E84" s="1" t="str">
        <f t="shared" si="11"/>
        <v>-</v>
      </c>
      <c r="F84" s="8">
        <f t="shared" si="12"/>
        <v>3.4398034398038826</v>
      </c>
      <c r="G84" s="8">
        <f t="shared" si="12"/>
        <v>0.50125313283214756</v>
      </c>
      <c r="H84" s="8">
        <f t="shared" si="12"/>
        <v>0.99502487562200137</v>
      </c>
      <c r="J84">
        <f t="shared" si="13"/>
        <v>0</v>
      </c>
      <c r="K84">
        <f t="shared" si="13"/>
        <v>0</v>
      </c>
      <c r="L84">
        <f t="shared" si="13"/>
        <v>0</v>
      </c>
    </row>
    <row r="85" spans="1:12" x14ac:dyDescent="0.3">
      <c r="A85" s="2">
        <v>71</v>
      </c>
      <c r="B85" s="3">
        <f t="shared" si="8"/>
        <v>0.98249999999999771</v>
      </c>
      <c r="C85" s="3">
        <f t="shared" si="9"/>
        <v>1.0025000000000004</v>
      </c>
      <c r="D85" s="3">
        <f t="shared" si="10"/>
        <v>0.99499999999999944</v>
      </c>
      <c r="E85" s="1" t="str">
        <f t="shared" si="11"/>
        <v>-</v>
      </c>
      <c r="F85" s="8">
        <f t="shared" si="12"/>
        <v>3.5623409669215942</v>
      </c>
      <c r="G85" s="8">
        <f t="shared" si="12"/>
        <v>0.49875311720704923</v>
      </c>
      <c r="H85" s="8">
        <f t="shared" si="12"/>
        <v>1.0050251256282539</v>
      </c>
      <c r="J85">
        <f t="shared" si="13"/>
        <v>0</v>
      </c>
      <c r="K85">
        <f t="shared" si="13"/>
        <v>0</v>
      </c>
      <c r="L85">
        <f t="shared" si="13"/>
        <v>0</v>
      </c>
    </row>
    <row r="86" spans="1:12" x14ac:dyDescent="0.3">
      <c r="A86" s="2">
        <v>72</v>
      </c>
      <c r="B86" s="3">
        <f t="shared" si="8"/>
        <v>1.0175000000000023</v>
      </c>
      <c r="C86" s="3">
        <f t="shared" si="9"/>
        <v>0.99749999999999972</v>
      </c>
      <c r="D86" s="3">
        <f t="shared" si="10"/>
        <v>1.0050000000000006</v>
      </c>
      <c r="E86" s="1" t="str">
        <f t="shared" si="11"/>
        <v>-</v>
      </c>
      <c r="F86" s="8">
        <f t="shared" si="12"/>
        <v>3.4398034398038826</v>
      </c>
      <c r="G86" s="8">
        <f t="shared" si="12"/>
        <v>0.50125313283214756</v>
      </c>
      <c r="H86" s="8">
        <f t="shared" si="12"/>
        <v>0.99502487562200137</v>
      </c>
      <c r="J86">
        <f t="shared" si="13"/>
        <v>0</v>
      </c>
      <c r="K86">
        <f t="shared" si="13"/>
        <v>0</v>
      </c>
      <c r="L86">
        <f t="shared" si="13"/>
        <v>0</v>
      </c>
    </row>
    <row r="87" spans="1:12" x14ac:dyDescent="0.3">
      <c r="A87" s="2">
        <v>73</v>
      </c>
      <c r="B87" s="3">
        <f t="shared" si="8"/>
        <v>0.98249999999999771</v>
      </c>
      <c r="C87" s="3">
        <f t="shared" si="9"/>
        <v>1.0025000000000004</v>
      </c>
      <c r="D87" s="3">
        <f t="shared" si="10"/>
        <v>0.99499999999999944</v>
      </c>
      <c r="E87" s="1" t="str">
        <f t="shared" si="11"/>
        <v>-</v>
      </c>
      <c r="F87" s="8">
        <f t="shared" si="12"/>
        <v>3.5623409669215942</v>
      </c>
      <c r="G87" s="8">
        <f t="shared" si="12"/>
        <v>0.49875311720704923</v>
      </c>
      <c r="H87" s="8">
        <f t="shared" si="12"/>
        <v>1.0050251256282539</v>
      </c>
      <c r="J87">
        <f t="shared" si="13"/>
        <v>0</v>
      </c>
      <c r="K87">
        <f t="shared" si="13"/>
        <v>0</v>
      </c>
      <c r="L87">
        <f t="shared" si="13"/>
        <v>0</v>
      </c>
    </row>
    <row r="88" spans="1:12" x14ac:dyDescent="0.3">
      <c r="A88" s="2">
        <v>74</v>
      </c>
      <c r="B88" s="3">
        <f t="shared" si="8"/>
        <v>1.0175000000000023</v>
      </c>
      <c r="C88" s="3">
        <f t="shared" si="9"/>
        <v>0.99749999999999972</v>
      </c>
      <c r="D88" s="3">
        <f t="shared" si="10"/>
        <v>1.0050000000000006</v>
      </c>
      <c r="E88" s="1" t="str">
        <f t="shared" si="11"/>
        <v>-</v>
      </c>
      <c r="F88" s="8">
        <f t="shared" si="12"/>
        <v>3.4398034398038826</v>
      </c>
      <c r="G88" s="8">
        <f t="shared" si="12"/>
        <v>0.50125313283214756</v>
      </c>
      <c r="H88" s="8">
        <f t="shared" si="12"/>
        <v>0.99502487562200137</v>
      </c>
      <c r="J88">
        <f t="shared" si="13"/>
        <v>0</v>
      </c>
      <c r="K88">
        <f t="shared" si="13"/>
        <v>0</v>
      </c>
      <c r="L88">
        <f t="shared" si="13"/>
        <v>0</v>
      </c>
    </row>
    <row r="89" spans="1:12" x14ac:dyDescent="0.3">
      <c r="A89" s="2">
        <v>75</v>
      </c>
      <c r="B89" s="3">
        <f t="shared" si="8"/>
        <v>0.98249999999999771</v>
      </c>
      <c r="C89" s="3">
        <f t="shared" si="9"/>
        <v>1.0025000000000004</v>
      </c>
      <c r="D89" s="3">
        <f t="shared" si="10"/>
        <v>0.99499999999999944</v>
      </c>
      <c r="E89" s="1" t="str">
        <f t="shared" si="11"/>
        <v>-</v>
      </c>
      <c r="F89" s="8">
        <f t="shared" si="12"/>
        <v>3.5623409669215942</v>
      </c>
      <c r="G89" s="8">
        <f t="shared" si="12"/>
        <v>0.49875311720704923</v>
      </c>
      <c r="H89" s="8">
        <f t="shared" si="12"/>
        <v>1.0050251256282539</v>
      </c>
      <c r="J89">
        <f t="shared" si="13"/>
        <v>0</v>
      </c>
      <c r="K89">
        <f t="shared" si="13"/>
        <v>0</v>
      </c>
      <c r="L89">
        <f t="shared" si="13"/>
        <v>0</v>
      </c>
    </row>
    <row r="90" spans="1:12" x14ac:dyDescent="0.3">
      <c r="A90" s="2">
        <v>76</v>
      </c>
      <c r="B90" s="3">
        <f t="shared" si="8"/>
        <v>1.0175000000000023</v>
      </c>
      <c r="C90" s="3">
        <f t="shared" si="9"/>
        <v>0.99749999999999972</v>
      </c>
      <c r="D90" s="3">
        <f t="shared" si="10"/>
        <v>1.0050000000000006</v>
      </c>
      <c r="E90" s="1" t="str">
        <f t="shared" si="11"/>
        <v>-</v>
      </c>
      <c r="F90" s="8">
        <f t="shared" si="12"/>
        <v>3.4398034398038826</v>
      </c>
      <c r="G90" s="8">
        <f t="shared" si="12"/>
        <v>0.50125313283214756</v>
      </c>
      <c r="H90" s="8">
        <f t="shared" si="12"/>
        <v>0.99502487562200137</v>
      </c>
      <c r="J90">
        <f t="shared" si="13"/>
        <v>0</v>
      </c>
      <c r="K90">
        <f t="shared" si="13"/>
        <v>0</v>
      </c>
      <c r="L90">
        <f t="shared" si="13"/>
        <v>0</v>
      </c>
    </row>
    <row r="91" spans="1:12" x14ac:dyDescent="0.3">
      <c r="A91" s="2">
        <v>77</v>
      </c>
      <c r="B91" s="3">
        <f t="shared" si="8"/>
        <v>0.98249999999999771</v>
      </c>
      <c r="C91" s="3">
        <f t="shared" si="9"/>
        <v>1.0025000000000004</v>
      </c>
      <c r="D91" s="3">
        <f t="shared" si="10"/>
        <v>0.99499999999999944</v>
      </c>
      <c r="E91" s="1" t="str">
        <f t="shared" si="11"/>
        <v>-</v>
      </c>
      <c r="F91" s="8">
        <f t="shared" si="12"/>
        <v>3.5623409669215942</v>
      </c>
      <c r="G91" s="8">
        <f t="shared" si="12"/>
        <v>0.49875311720704923</v>
      </c>
      <c r="H91" s="8">
        <f t="shared" si="12"/>
        <v>1.0050251256282539</v>
      </c>
      <c r="J91">
        <f t="shared" si="13"/>
        <v>0</v>
      </c>
      <c r="K91">
        <f t="shared" si="13"/>
        <v>0</v>
      </c>
      <c r="L91">
        <f t="shared" si="13"/>
        <v>0</v>
      </c>
    </row>
    <row r="92" spans="1:12" x14ac:dyDescent="0.3">
      <c r="A92" s="2">
        <v>78</v>
      </c>
      <c r="B92" s="3">
        <f t="shared" si="8"/>
        <v>1.0175000000000023</v>
      </c>
      <c r="C92" s="3">
        <f t="shared" si="9"/>
        <v>0.99749999999999972</v>
      </c>
      <c r="D92" s="3">
        <f t="shared" si="10"/>
        <v>1.0050000000000006</v>
      </c>
      <c r="E92" s="1" t="str">
        <f t="shared" si="11"/>
        <v>-</v>
      </c>
      <c r="F92" s="8">
        <f t="shared" si="12"/>
        <v>3.4398034398038826</v>
      </c>
      <c r="G92" s="8">
        <f t="shared" si="12"/>
        <v>0.50125313283214756</v>
      </c>
      <c r="H92" s="8">
        <f t="shared" si="12"/>
        <v>0.99502487562200137</v>
      </c>
      <c r="J92">
        <f t="shared" si="13"/>
        <v>0</v>
      </c>
      <c r="K92">
        <f t="shared" si="13"/>
        <v>0</v>
      </c>
      <c r="L92">
        <f t="shared" si="13"/>
        <v>0</v>
      </c>
    </row>
    <row r="93" spans="1:12" x14ac:dyDescent="0.3">
      <c r="A93" s="2">
        <v>79</v>
      </c>
      <c r="B93" s="3">
        <f t="shared" si="8"/>
        <v>0.98249999999999771</v>
      </c>
      <c r="C93" s="3">
        <f t="shared" si="9"/>
        <v>1.0025000000000004</v>
      </c>
      <c r="D93" s="3">
        <f t="shared" si="10"/>
        <v>0.99499999999999944</v>
      </c>
      <c r="E93" s="1" t="str">
        <f t="shared" si="11"/>
        <v>-</v>
      </c>
      <c r="F93" s="8">
        <f t="shared" si="12"/>
        <v>3.5623409669215942</v>
      </c>
      <c r="G93" s="8">
        <f t="shared" si="12"/>
        <v>0.49875311720704923</v>
      </c>
      <c r="H93" s="8">
        <f t="shared" si="12"/>
        <v>1.0050251256282539</v>
      </c>
      <c r="J93">
        <f t="shared" si="13"/>
        <v>0</v>
      </c>
      <c r="K93">
        <f t="shared" si="13"/>
        <v>0</v>
      </c>
      <c r="L93">
        <f t="shared" si="13"/>
        <v>0</v>
      </c>
    </row>
    <row r="94" spans="1:12" x14ac:dyDescent="0.3">
      <c r="A94" s="2">
        <v>80</v>
      </c>
      <c r="B94" s="3">
        <f t="shared" si="8"/>
        <v>1.0175000000000023</v>
      </c>
      <c r="C94" s="3">
        <f t="shared" si="9"/>
        <v>0.99749999999999972</v>
      </c>
      <c r="D94" s="3">
        <f t="shared" si="10"/>
        <v>1.0050000000000006</v>
      </c>
      <c r="E94" s="1" t="str">
        <f t="shared" si="11"/>
        <v>-</v>
      </c>
      <c r="F94" s="8">
        <f t="shared" si="12"/>
        <v>3.4398034398038826</v>
      </c>
      <c r="G94" s="8">
        <f t="shared" si="12"/>
        <v>0.50125313283214756</v>
      </c>
      <c r="H94" s="8">
        <f t="shared" si="12"/>
        <v>0.99502487562200137</v>
      </c>
      <c r="J94">
        <f t="shared" si="13"/>
        <v>0</v>
      </c>
      <c r="K94">
        <f t="shared" si="13"/>
        <v>0</v>
      </c>
      <c r="L94">
        <f t="shared" si="13"/>
        <v>0</v>
      </c>
    </row>
    <row r="95" spans="1:12" x14ac:dyDescent="0.3">
      <c r="A95" s="2">
        <v>81</v>
      </c>
      <c r="B95" s="3">
        <f t="shared" si="8"/>
        <v>0.98249999999999771</v>
      </c>
      <c r="C95" s="3">
        <f t="shared" si="9"/>
        <v>1.0025000000000004</v>
      </c>
      <c r="D95" s="3">
        <f t="shared" si="10"/>
        <v>0.99499999999999944</v>
      </c>
      <c r="E95" s="1" t="str">
        <f t="shared" si="11"/>
        <v>-</v>
      </c>
      <c r="F95" s="8">
        <f t="shared" si="12"/>
        <v>3.5623409669215942</v>
      </c>
      <c r="G95" s="8">
        <f t="shared" si="12"/>
        <v>0.49875311720704923</v>
      </c>
      <c r="H95" s="8">
        <f t="shared" si="12"/>
        <v>1.0050251256282539</v>
      </c>
      <c r="J95">
        <f t="shared" si="13"/>
        <v>0</v>
      </c>
      <c r="K95">
        <f t="shared" si="13"/>
        <v>0</v>
      </c>
      <c r="L95">
        <f t="shared" si="13"/>
        <v>0</v>
      </c>
    </row>
    <row r="96" spans="1:12" x14ac:dyDescent="0.3">
      <c r="A96" s="2">
        <v>82</v>
      </c>
      <c r="B96" s="3">
        <f t="shared" si="8"/>
        <v>1.0175000000000023</v>
      </c>
      <c r="C96" s="3">
        <f t="shared" si="9"/>
        <v>0.99749999999999972</v>
      </c>
      <c r="D96" s="3">
        <f t="shared" si="10"/>
        <v>1.0050000000000006</v>
      </c>
      <c r="E96" s="1" t="str">
        <f t="shared" si="11"/>
        <v>-</v>
      </c>
      <c r="F96" s="8">
        <f t="shared" si="12"/>
        <v>3.4398034398038826</v>
      </c>
      <c r="G96" s="8">
        <f t="shared" si="12"/>
        <v>0.50125313283214756</v>
      </c>
      <c r="H96" s="8">
        <f t="shared" si="12"/>
        <v>0.99502487562200137</v>
      </c>
      <c r="J96">
        <f t="shared" si="13"/>
        <v>0</v>
      </c>
      <c r="K96">
        <f t="shared" si="13"/>
        <v>0</v>
      </c>
      <c r="L96">
        <f t="shared" si="13"/>
        <v>0</v>
      </c>
    </row>
    <row r="97" spans="1:8" x14ac:dyDescent="0.3">
      <c r="A97" s="2">
        <v>83</v>
      </c>
      <c r="B97" s="3">
        <f t="shared" si="8"/>
        <v>0.98249999999999771</v>
      </c>
      <c r="C97" s="3">
        <f t="shared" si="9"/>
        <v>1.0025000000000004</v>
      </c>
      <c r="D97" s="3">
        <f t="shared" si="10"/>
        <v>0.99499999999999944</v>
      </c>
      <c r="E97" s="1" t="str">
        <f t="shared" si="11"/>
        <v>-</v>
      </c>
      <c r="F97" s="8">
        <f t="shared" ref="F97:F149" si="14">ABS((B97-B96)/B97)*100</f>
        <v>3.5623409669215942</v>
      </c>
      <c r="G97" s="8">
        <f t="shared" ref="G97:G149" si="15">ABS((C97-C96)/C97)*100</f>
        <v>0.49875311720704923</v>
      </c>
      <c r="H97" s="8">
        <f t="shared" ref="H97:H149" si="16">ABS((D97-D96)/D97)*100</f>
        <v>1.0050251256282539</v>
      </c>
    </row>
    <row r="98" spans="1:8" x14ac:dyDescent="0.3">
      <c r="A98" s="2">
        <v>84</v>
      </c>
      <c r="B98" s="3">
        <f t="shared" si="8"/>
        <v>1.0175000000000023</v>
      </c>
      <c r="C98" s="3">
        <f t="shared" si="9"/>
        <v>0.99749999999999972</v>
      </c>
      <c r="D98" s="3">
        <f t="shared" si="10"/>
        <v>1.0050000000000006</v>
      </c>
      <c r="E98" s="1" t="str">
        <f t="shared" si="11"/>
        <v>-</v>
      </c>
      <c r="F98" s="8">
        <f t="shared" si="14"/>
        <v>3.4398034398038826</v>
      </c>
      <c r="G98" s="8">
        <f t="shared" si="15"/>
        <v>0.50125313283214756</v>
      </c>
      <c r="H98" s="8">
        <f t="shared" si="16"/>
        <v>0.99502487562200137</v>
      </c>
    </row>
    <row r="99" spans="1:8" x14ac:dyDescent="0.3">
      <c r="A99" s="2">
        <v>85</v>
      </c>
      <c r="B99" s="3">
        <f t="shared" si="8"/>
        <v>0.98249999999999771</v>
      </c>
      <c r="C99" s="3">
        <f t="shared" si="9"/>
        <v>1.0025000000000004</v>
      </c>
      <c r="D99" s="3">
        <f t="shared" si="10"/>
        <v>0.99499999999999944</v>
      </c>
      <c r="E99" s="1" t="str">
        <f t="shared" si="11"/>
        <v>-</v>
      </c>
      <c r="F99" s="8">
        <f t="shared" si="14"/>
        <v>3.5623409669215942</v>
      </c>
      <c r="G99" s="8">
        <f t="shared" si="15"/>
        <v>0.49875311720704923</v>
      </c>
      <c r="H99" s="8">
        <f t="shared" si="16"/>
        <v>1.0050251256282539</v>
      </c>
    </row>
    <row r="100" spans="1:8" x14ac:dyDescent="0.3">
      <c r="A100" s="2">
        <v>86</v>
      </c>
      <c r="B100" s="3">
        <f t="shared" si="8"/>
        <v>1.0175000000000023</v>
      </c>
      <c r="C100" s="3">
        <f t="shared" si="9"/>
        <v>0.99749999999999972</v>
      </c>
      <c r="D100" s="3">
        <f t="shared" si="10"/>
        <v>1.0050000000000006</v>
      </c>
      <c r="E100" s="1" t="str">
        <f t="shared" si="11"/>
        <v>-</v>
      </c>
      <c r="F100" s="8">
        <f t="shared" si="14"/>
        <v>3.4398034398038826</v>
      </c>
      <c r="G100" s="8">
        <f t="shared" si="15"/>
        <v>0.50125313283214756</v>
      </c>
      <c r="H100" s="8">
        <f t="shared" si="16"/>
        <v>0.99502487562200137</v>
      </c>
    </row>
    <row r="101" spans="1:8" x14ac:dyDescent="0.3">
      <c r="A101" s="2">
        <v>87</v>
      </c>
      <c r="B101" s="3">
        <f t="shared" si="8"/>
        <v>0.98249999999999771</v>
      </c>
      <c r="C101" s="3">
        <f t="shared" si="9"/>
        <v>1.0025000000000004</v>
      </c>
      <c r="D101" s="3">
        <f t="shared" si="10"/>
        <v>0.99499999999999944</v>
      </c>
      <c r="E101" s="1" t="str">
        <f t="shared" si="11"/>
        <v>-</v>
      </c>
      <c r="F101" s="8">
        <f t="shared" si="14"/>
        <v>3.5623409669215942</v>
      </c>
      <c r="G101" s="8">
        <f t="shared" si="15"/>
        <v>0.49875311720704923</v>
      </c>
      <c r="H101" s="8">
        <f t="shared" si="16"/>
        <v>1.0050251256282539</v>
      </c>
    </row>
    <row r="102" spans="1:8" x14ac:dyDescent="0.3">
      <c r="A102" s="2">
        <v>88</v>
      </c>
      <c r="B102" s="3">
        <f t="shared" si="8"/>
        <v>1.0175000000000023</v>
      </c>
      <c r="C102" s="3">
        <f t="shared" si="9"/>
        <v>0.99749999999999972</v>
      </c>
      <c r="D102" s="3">
        <f t="shared" si="10"/>
        <v>1.0050000000000006</v>
      </c>
      <c r="E102" s="1" t="str">
        <f t="shared" si="11"/>
        <v>-</v>
      </c>
      <c r="F102" s="8">
        <f t="shared" si="14"/>
        <v>3.4398034398038826</v>
      </c>
      <c r="G102" s="8">
        <f t="shared" si="15"/>
        <v>0.50125313283214756</v>
      </c>
      <c r="H102" s="8">
        <f t="shared" si="16"/>
        <v>0.99502487562200137</v>
      </c>
    </row>
    <row r="103" spans="1:8" x14ac:dyDescent="0.3">
      <c r="A103" s="2">
        <v>89</v>
      </c>
      <c r="B103" s="3">
        <f t="shared" si="8"/>
        <v>0.98249999999999771</v>
      </c>
      <c r="C103" s="3">
        <f t="shared" si="9"/>
        <v>1.0025000000000004</v>
      </c>
      <c r="D103" s="3">
        <f t="shared" si="10"/>
        <v>0.99499999999999944</v>
      </c>
      <c r="E103" s="1" t="str">
        <f t="shared" si="11"/>
        <v>-</v>
      </c>
      <c r="F103" s="8">
        <f t="shared" si="14"/>
        <v>3.5623409669215942</v>
      </c>
      <c r="G103" s="8">
        <f t="shared" si="15"/>
        <v>0.49875311720704923</v>
      </c>
      <c r="H103" s="8">
        <f t="shared" si="16"/>
        <v>1.0050251256282539</v>
      </c>
    </row>
    <row r="104" spans="1:8" x14ac:dyDescent="0.3">
      <c r="A104" s="2">
        <v>90</v>
      </c>
      <c r="B104" s="3">
        <f t="shared" si="8"/>
        <v>1.0175000000000023</v>
      </c>
      <c r="C104" s="3">
        <f t="shared" si="9"/>
        <v>0.99749999999999972</v>
      </c>
      <c r="D104" s="3">
        <f t="shared" si="10"/>
        <v>1.0050000000000006</v>
      </c>
      <c r="E104" s="1" t="str">
        <f t="shared" si="11"/>
        <v>-</v>
      </c>
      <c r="F104" s="8">
        <f t="shared" si="14"/>
        <v>3.4398034398038826</v>
      </c>
      <c r="G104" s="8">
        <f t="shared" si="15"/>
        <v>0.50125313283214756</v>
      </c>
      <c r="H104" s="8">
        <f t="shared" si="16"/>
        <v>0.99502487562200137</v>
      </c>
    </row>
    <row r="105" spans="1:8" x14ac:dyDescent="0.3">
      <c r="A105" s="2">
        <v>91</v>
      </c>
      <c r="B105" s="3">
        <f t="shared" si="8"/>
        <v>0.98249999999999771</v>
      </c>
      <c r="C105" s="3">
        <f t="shared" si="9"/>
        <v>1.0025000000000004</v>
      </c>
      <c r="D105" s="3">
        <f t="shared" si="10"/>
        <v>0.99499999999999944</v>
      </c>
      <c r="E105" s="1" t="str">
        <f t="shared" si="11"/>
        <v>-</v>
      </c>
      <c r="F105" s="8">
        <f t="shared" si="14"/>
        <v>3.5623409669215942</v>
      </c>
      <c r="G105" s="8">
        <f t="shared" si="15"/>
        <v>0.49875311720704923</v>
      </c>
      <c r="H105" s="8">
        <f t="shared" si="16"/>
        <v>1.0050251256282539</v>
      </c>
    </row>
    <row r="106" spans="1:8" x14ac:dyDescent="0.3">
      <c r="A106" s="2">
        <v>92</v>
      </c>
      <c r="B106" s="3">
        <f t="shared" si="8"/>
        <v>1.0175000000000023</v>
      </c>
      <c r="C106" s="3">
        <f t="shared" si="9"/>
        <v>0.99749999999999972</v>
      </c>
      <c r="D106" s="3">
        <f t="shared" si="10"/>
        <v>1.0050000000000006</v>
      </c>
      <c r="E106" s="1" t="str">
        <f t="shared" si="11"/>
        <v>-</v>
      </c>
      <c r="F106" s="8">
        <f t="shared" si="14"/>
        <v>3.4398034398038826</v>
      </c>
      <c r="G106" s="8">
        <f t="shared" si="15"/>
        <v>0.50125313283214756</v>
      </c>
      <c r="H106" s="8">
        <f t="shared" si="16"/>
        <v>0.99502487562200137</v>
      </c>
    </row>
    <row r="107" spans="1:8" x14ac:dyDescent="0.3">
      <c r="A107" s="2">
        <v>93</v>
      </c>
      <c r="B107" s="3">
        <f t="shared" si="8"/>
        <v>0.98249999999999771</v>
      </c>
      <c r="C107" s="3">
        <f t="shared" si="9"/>
        <v>1.0025000000000004</v>
      </c>
      <c r="D107" s="3">
        <f t="shared" si="10"/>
        <v>0.99499999999999944</v>
      </c>
      <c r="E107" s="1" t="str">
        <f t="shared" si="11"/>
        <v>-</v>
      </c>
      <c r="F107" s="8">
        <f t="shared" si="14"/>
        <v>3.5623409669215942</v>
      </c>
      <c r="G107" s="8">
        <f t="shared" si="15"/>
        <v>0.49875311720704923</v>
      </c>
      <c r="H107" s="8">
        <f t="shared" si="16"/>
        <v>1.0050251256282539</v>
      </c>
    </row>
    <row r="108" spans="1:8" x14ac:dyDescent="0.3">
      <c r="A108" s="2">
        <v>94</v>
      </c>
      <c r="B108" s="3">
        <f t="shared" si="8"/>
        <v>1.0175000000000023</v>
      </c>
      <c r="C108" s="3">
        <f t="shared" si="9"/>
        <v>0.99749999999999972</v>
      </c>
      <c r="D108" s="3">
        <f t="shared" si="10"/>
        <v>1.0050000000000006</v>
      </c>
      <c r="E108" s="1" t="str">
        <f t="shared" si="11"/>
        <v>-</v>
      </c>
      <c r="F108" s="8">
        <f t="shared" si="14"/>
        <v>3.4398034398038826</v>
      </c>
      <c r="G108" s="8">
        <f t="shared" si="15"/>
        <v>0.50125313283214756</v>
      </c>
      <c r="H108" s="8">
        <f t="shared" si="16"/>
        <v>0.99502487562200137</v>
      </c>
    </row>
    <row r="109" spans="1:8" x14ac:dyDescent="0.3">
      <c r="A109" s="2">
        <v>95</v>
      </c>
      <c r="B109" s="3">
        <f t="shared" si="8"/>
        <v>0.98249999999999771</v>
      </c>
      <c r="C109" s="3">
        <f t="shared" si="9"/>
        <v>1.0025000000000004</v>
      </c>
      <c r="D109" s="3">
        <f t="shared" si="10"/>
        <v>0.99499999999999944</v>
      </c>
      <c r="E109" s="1" t="str">
        <f t="shared" si="11"/>
        <v>-</v>
      </c>
      <c r="F109" s="8">
        <f t="shared" si="14"/>
        <v>3.5623409669215942</v>
      </c>
      <c r="G109" s="8">
        <f t="shared" si="15"/>
        <v>0.49875311720704923</v>
      </c>
      <c r="H109" s="8">
        <f t="shared" si="16"/>
        <v>1.0050251256282539</v>
      </c>
    </row>
    <row r="110" spans="1:8" x14ac:dyDescent="0.3">
      <c r="A110" s="2">
        <v>96</v>
      </c>
      <c r="B110" s="3">
        <f t="shared" si="8"/>
        <v>1.0175000000000023</v>
      </c>
      <c r="C110" s="3">
        <f t="shared" si="9"/>
        <v>0.99749999999999972</v>
      </c>
      <c r="D110" s="3">
        <f t="shared" si="10"/>
        <v>1.0050000000000006</v>
      </c>
      <c r="E110" s="1" t="str">
        <f t="shared" si="11"/>
        <v>-</v>
      </c>
      <c r="F110" s="8">
        <f t="shared" si="14"/>
        <v>3.4398034398038826</v>
      </c>
      <c r="G110" s="8">
        <f t="shared" si="15"/>
        <v>0.50125313283214756</v>
      </c>
      <c r="H110" s="8">
        <f t="shared" si="16"/>
        <v>0.99502487562200137</v>
      </c>
    </row>
    <row r="111" spans="1:8" x14ac:dyDescent="0.3">
      <c r="A111" s="2">
        <v>97</v>
      </c>
      <c r="B111" s="3">
        <f t="shared" si="8"/>
        <v>0.98249999999999771</v>
      </c>
      <c r="C111" s="3">
        <f t="shared" si="9"/>
        <v>1.0025000000000004</v>
      </c>
      <c r="D111" s="3">
        <f t="shared" si="10"/>
        <v>0.99499999999999944</v>
      </c>
      <c r="E111" s="1" t="str">
        <f t="shared" si="11"/>
        <v>-</v>
      </c>
      <c r="F111" s="8">
        <f t="shared" si="14"/>
        <v>3.5623409669215942</v>
      </c>
      <c r="G111" s="8">
        <f t="shared" si="15"/>
        <v>0.49875311720704923</v>
      </c>
      <c r="H111" s="8">
        <f t="shared" si="16"/>
        <v>1.0050251256282539</v>
      </c>
    </row>
    <row r="112" spans="1:8" x14ac:dyDescent="0.3">
      <c r="A112" s="2">
        <v>98</v>
      </c>
      <c r="B112" s="3">
        <f t="shared" si="8"/>
        <v>1.0175000000000023</v>
      </c>
      <c r="C112" s="3">
        <f t="shared" si="9"/>
        <v>0.99749999999999972</v>
      </c>
      <c r="D112" s="3">
        <f t="shared" si="10"/>
        <v>1.0050000000000006</v>
      </c>
      <c r="E112" s="1" t="str">
        <f t="shared" si="11"/>
        <v>-</v>
      </c>
      <c r="F112" s="8">
        <f t="shared" si="14"/>
        <v>3.4398034398038826</v>
      </c>
      <c r="G112" s="8">
        <f t="shared" si="15"/>
        <v>0.50125313283214756</v>
      </c>
      <c r="H112" s="8">
        <f t="shared" si="16"/>
        <v>0.99502487562200137</v>
      </c>
    </row>
    <row r="113" spans="1:8" x14ac:dyDescent="0.3">
      <c r="A113" s="2">
        <v>99</v>
      </c>
      <c r="B113" s="3">
        <f t="shared" si="8"/>
        <v>0.98249999999999771</v>
      </c>
      <c r="C113" s="3">
        <f t="shared" si="9"/>
        <v>1.0025000000000004</v>
      </c>
      <c r="D113" s="3">
        <f t="shared" si="10"/>
        <v>0.99499999999999944</v>
      </c>
      <c r="E113" s="1" t="str">
        <f t="shared" si="11"/>
        <v>-</v>
      </c>
      <c r="F113" s="8">
        <f t="shared" si="14"/>
        <v>3.5623409669215942</v>
      </c>
      <c r="G113" s="8">
        <f t="shared" si="15"/>
        <v>0.49875311720704923</v>
      </c>
      <c r="H113" s="8">
        <f t="shared" si="16"/>
        <v>1.0050251256282539</v>
      </c>
    </row>
    <row r="114" spans="1:8" x14ac:dyDescent="0.3">
      <c r="A114" s="2">
        <v>100</v>
      </c>
      <c r="B114" s="3">
        <f t="shared" si="8"/>
        <v>1.0175000000000023</v>
      </c>
      <c r="C114" s="3">
        <f t="shared" si="9"/>
        <v>0.99749999999999972</v>
      </c>
      <c r="D114" s="3">
        <f t="shared" si="10"/>
        <v>1.0050000000000006</v>
      </c>
      <c r="E114" s="1" t="str">
        <f t="shared" si="11"/>
        <v>-</v>
      </c>
      <c r="F114" s="8">
        <f t="shared" si="14"/>
        <v>3.4398034398038826</v>
      </c>
      <c r="G114" s="8">
        <f t="shared" si="15"/>
        <v>0.50125313283214756</v>
      </c>
      <c r="H114" s="8">
        <f t="shared" si="16"/>
        <v>0.99502487562200137</v>
      </c>
    </row>
    <row r="115" spans="1:8" x14ac:dyDescent="0.3">
      <c r="A115" s="2">
        <v>101</v>
      </c>
      <c r="B115" s="3">
        <f t="shared" si="8"/>
        <v>0.98249999999999771</v>
      </c>
      <c r="C115" s="3">
        <f t="shared" si="9"/>
        <v>1.0025000000000004</v>
      </c>
      <c r="D115" s="3">
        <f t="shared" si="10"/>
        <v>0.99499999999999944</v>
      </c>
      <c r="E115" s="1" t="str">
        <f t="shared" si="11"/>
        <v>-</v>
      </c>
      <c r="F115" s="8">
        <f t="shared" si="14"/>
        <v>3.5623409669215942</v>
      </c>
      <c r="G115" s="8">
        <f t="shared" si="15"/>
        <v>0.49875311720704923</v>
      </c>
      <c r="H115" s="8">
        <f t="shared" si="16"/>
        <v>1.0050251256282539</v>
      </c>
    </row>
    <row r="116" spans="1:8" x14ac:dyDescent="0.3">
      <c r="A116" s="2">
        <v>102</v>
      </c>
      <c r="B116" s="3">
        <f t="shared" si="8"/>
        <v>1.0175000000000023</v>
      </c>
      <c r="C116" s="3">
        <f t="shared" si="9"/>
        <v>0.99749999999999972</v>
      </c>
      <c r="D116" s="3">
        <f t="shared" si="10"/>
        <v>1.0050000000000006</v>
      </c>
      <c r="E116" s="1" t="str">
        <f t="shared" si="11"/>
        <v>-</v>
      </c>
      <c r="F116" s="8">
        <f t="shared" si="14"/>
        <v>3.4398034398038826</v>
      </c>
      <c r="G116" s="8">
        <f t="shared" si="15"/>
        <v>0.50125313283214756</v>
      </c>
      <c r="H116" s="8">
        <f t="shared" si="16"/>
        <v>0.99502487562200137</v>
      </c>
    </row>
    <row r="117" spans="1:8" x14ac:dyDescent="0.3">
      <c r="A117" s="2">
        <v>103</v>
      </c>
      <c r="B117" s="3">
        <f t="shared" si="8"/>
        <v>0.98249999999999771</v>
      </c>
      <c r="C117" s="3">
        <f t="shared" si="9"/>
        <v>1.0025000000000004</v>
      </c>
      <c r="D117" s="3">
        <f t="shared" si="10"/>
        <v>0.99499999999999944</v>
      </c>
      <c r="E117" s="1" t="str">
        <f t="shared" si="11"/>
        <v>-</v>
      </c>
      <c r="F117" s="8">
        <f t="shared" si="14"/>
        <v>3.5623409669215942</v>
      </c>
      <c r="G117" s="8">
        <f t="shared" si="15"/>
        <v>0.49875311720704923</v>
      </c>
      <c r="H117" s="8">
        <f t="shared" si="16"/>
        <v>1.0050251256282539</v>
      </c>
    </row>
    <row r="118" spans="1:8" x14ac:dyDescent="0.3">
      <c r="A118" s="2">
        <v>104</v>
      </c>
      <c r="B118" s="3">
        <f t="shared" si="8"/>
        <v>1.0175000000000023</v>
      </c>
      <c r="C118" s="3">
        <f t="shared" si="9"/>
        <v>0.99749999999999972</v>
      </c>
      <c r="D118" s="3">
        <f t="shared" si="10"/>
        <v>1.0050000000000006</v>
      </c>
      <c r="E118" s="1" t="str">
        <f t="shared" si="11"/>
        <v>-</v>
      </c>
      <c r="F118" s="8">
        <f t="shared" si="14"/>
        <v>3.4398034398038826</v>
      </c>
      <c r="G118" s="8">
        <f t="shared" si="15"/>
        <v>0.50125313283214756</v>
      </c>
      <c r="H118" s="8">
        <f t="shared" si="16"/>
        <v>0.99502487562200137</v>
      </c>
    </row>
    <row r="119" spans="1:8" x14ac:dyDescent="0.3">
      <c r="A119" s="2">
        <v>105</v>
      </c>
      <c r="B119" s="3">
        <f t="shared" si="8"/>
        <v>0.98249999999999771</v>
      </c>
      <c r="C119" s="3">
        <f t="shared" si="9"/>
        <v>1.0025000000000004</v>
      </c>
      <c r="D119" s="3">
        <f t="shared" si="10"/>
        <v>0.99499999999999944</v>
      </c>
      <c r="E119" s="1" t="str">
        <f t="shared" si="11"/>
        <v>-</v>
      </c>
      <c r="F119" s="8">
        <f t="shared" si="14"/>
        <v>3.5623409669215942</v>
      </c>
      <c r="G119" s="8">
        <f t="shared" si="15"/>
        <v>0.49875311720704923</v>
      </c>
      <c r="H119" s="8">
        <f t="shared" si="16"/>
        <v>1.0050251256282539</v>
      </c>
    </row>
    <row r="120" spans="1:8" x14ac:dyDescent="0.3">
      <c r="A120" s="2">
        <v>106</v>
      </c>
      <c r="B120" s="3">
        <f t="shared" si="8"/>
        <v>1.0175000000000023</v>
      </c>
      <c r="C120" s="3">
        <f t="shared" si="9"/>
        <v>0.99749999999999972</v>
      </c>
      <c r="D120" s="3">
        <f t="shared" si="10"/>
        <v>1.0050000000000006</v>
      </c>
      <c r="E120" s="1" t="str">
        <f t="shared" si="11"/>
        <v>-</v>
      </c>
      <c r="F120" s="8">
        <f t="shared" si="14"/>
        <v>3.4398034398038826</v>
      </c>
      <c r="G120" s="8">
        <f t="shared" si="15"/>
        <v>0.50125313283214756</v>
      </c>
      <c r="H120" s="8">
        <f t="shared" si="16"/>
        <v>0.99502487562200137</v>
      </c>
    </row>
    <row r="121" spans="1:8" x14ac:dyDescent="0.3">
      <c r="A121" s="2">
        <v>107</v>
      </c>
      <c r="B121" s="3">
        <f t="shared" si="8"/>
        <v>0.98249999999999771</v>
      </c>
      <c r="C121" s="3">
        <f t="shared" si="9"/>
        <v>1.0025000000000004</v>
      </c>
      <c r="D121" s="3">
        <f t="shared" si="10"/>
        <v>0.99499999999999944</v>
      </c>
      <c r="E121" s="1" t="str">
        <f t="shared" si="11"/>
        <v>-</v>
      </c>
      <c r="F121" s="8">
        <f t="shared" si="14"/>
        <v>3.5623409669215942</v>
      </c>
      <c r="G121" s="8">
        <f t="shared" si="15"/>
        <v>0.49875311720704923</v>
      </c>
      <c r="H121" s="8">
        <f t="shared" si="16"/>
        <v>1.0050251256282539</v>
      </c>
    </row>
    <row r="122" spans="1:8" x14ac:dyDescent="0.3">
      <c r="A122" s="2">
        <v>108</v>
      </c>
      <c r="B122" s="3">
        <f t="shared" si="8"/>
        <v>1.0175000000000023</v>
      </c>
      <c r="C122" s="3">
        <f t="shared" si="9"/>
        <v>0.99749999999999972</v>
      </c>
      <c r="D122" s="3">
        <f t="shared" si="10"/>
        <v>1.0050000000000006</v>
      </c>
      <c r="E122" s="1" t="str">
        <f t="shared" si="11"/>
        <v>-</v>
      </c>
      <c r="F122" s="8">
        <f t="shared" si="14"/>
        <v>3.4398034398038826</v>
      </c>
      <c r="G122" s="8">
        <f t="shared" si="15"/>
        <v>0.50125313283214756</v>
      </c>
      <c r="H122" s="8">
        <f t="shared" si="16"/>
        <v>0.99502487562200137</v>
      </c>
    </row>
    <row r="123" spans="1:8" x14ac:dyDescent="0.3">
      <c r="A123" s="2">
        <v>109</v>
      </c>
      <c r="B123" s="3">
        <f t="shared" si="8"/>
        <v>0.98249999999999771</v>
      </c>
      <c r="C123" s="3">
        <f t="shared" si="9"/>
        <v>1.0025000000000004</v>
      </c>
      <c r="D123" s="3">
        <f t="shared" si="10"/>
        <v>0.99499999999999944</v>
      </c>
      <c r="E123" s="1" t="str">
        <f t="shared" si="11"/>
        <v>-</v>
      </c>
      <c r="F123" s="8">
        <f t="shared" si="14"/>
        <v>3.5623409669215942</v>
      </c>
      <c r="G123" s="8">
        <f t="shared" si="15"/>
        <v>0.49875311720704923</v>
      </c>
      <c r="H123" s="8">
        <f t="shared" si="16"/>
        <v>1.0050251256282539</v>
      </c>
    </row>
    <row r="124" spans="1:8" x14ac:dyDescent="0.3">
      <c r="A124" s="2">
        <v>110</v>
      </c>
      <c r="B124" s="3">
        <f t="shared" si="8"/>
        <v>1.0175000000000023</v>
      </c>
      <c r="C124" s="3">
        <f t="shared" si="9"/>
        <v>0.99749999999999972</v>
      </c>
      <c r="D124" s="3">
        <f t="shared" si="10"/>
        <v>1.0050000000000006</v>
      </c>
      <c r="E124" s="1" t="str">
        <f t="shared" si="11"/>
        <v>-</v>
      </c>
      <c r="F124" s="8">
        <f t="shared" si="14"/>
        <v>3.4398034398038826</v>
      </c>
      <c r="G124" s="8">
        <f t="shared" si="15"/>
        <v>0.50125313283214756</v>
      </c>
      <c r="H124" s="8">
        <f t="shared" si="16"/>
        <v>0.99502487562200137</v>
      </c>
    </row>
    <row r="125" spans="1:8" x14ac:dyDescent="0.3">
      <c r="A125" s="2">
        <v>111</v>
      </c>
      <c r="B125" s="3">
        <f t="shared" si="8"/>
        <v>0.98249999999999771</v>
      </c>
      <c r="C125" s="3">
        <f t="shared" si="9"/>
        <v>1.0025000000000004</v>
      </c>
      <c r="D125" s="3">
        <f t="shared" si="10"/>
        <v>0.99499999999999944</v>
      </c>
      <c r="E125" s="1" t="str">
        <f t="shared" si="11"/>
        <v>-</v>
      </c>
      <c r="F125" s="8">
        <f t="shared" si="14"/>
        <v>3.5623409669215942</v>
      </c>
      <c r="G125" s="8">
        <f t="shared" si="15"/>
        <v>0.49875311720704923</v>
      </c>
      <c r="H125" s="8">
        <f t="shared" si="16"/>
        <v>1.0050251256282539</v>
      </c>
    </row>
    <row r="126" spans="1:8" x14ac:dyDescent="0.3">
      <c r="A126" s="2">
        <v>112</v>
      </c>
      <c r="B126" s="3">
        <f t="shared" si="8"/>
        <v>1.0175000000000023</v>
      </c>
      <c r="C126" s="3">
        <f t="shared" si="9"/>
        <v>0.99749999999999972</v>
      </c>
      <c r="D126" s="3">
        <f t="shared" si="10"/>
        <v>1.0050000000000006</v>
      </c>
      <c r="E126" s="1" t="str">
        <f t="shared" si="11"/>
        <v>-</v>
      </c>
      <c r="F126" s="8">
        <f t="shared" si="14"/>
        <v>3.4398034398038826</v>
      </c>
      <c r="G126" s="8">
        <f t="shared" si="15"/>
        <v>0.50125313283214756</v>
      </c>
      <c r="H126" s="8">
        <f t="shared" si="16"/>
        <v>0.99502487562200137</v>
      </c>
    </row>
    <row r="127" spans="1:8" x14ac:dyDescent="0.3">
      <c r="A127" s="2">
        <v>113</v>
      </c>
      <c r="B127" s="3">
        <f t="shared" si="8"/>
        <v>0.98249999999999771</v>
      </c>
      <c r="C127" s="3">
        <f t="shared" si="9"/>
        <v>1.0025000000000004</v>
      </c>
      <c r="D127" s="3">
        <f t="shared" si="10"/>
        <v>0.99499999999999944</v>
      </c>
      <c r="E127" s="1" t="str">
        <f t="shared" si="11"/>
        <v>-</v>
      </c>
      <c r="F127" s="8">
        <f t="shared" si="14"/>
        <v>3.5623409669215942</v>
      </c>
      <c r="G127" s="8">
        <f t="shared" si="15"/>
        <v>0.49875311720704923</v>
      </c>
      <c r="H127" s="8">
        <f t="shared" si="16"/>
        <v>1.0050251256282539</v>
      </c>
    </row>
    <row r="128" spans="1:8" x14ac:dyDescent="0.3">
      <c r="A128" s="2">
        <v>114</v>
      </c>
      <c r="B128" s="3">
        <f t="shared" si="8"/>
        <v>1.0175000000000023</v>
      </c>
      <c r="C128" s="3">
        <f t="shared" si="9"/>
        <v>0.99749999999999972</v>
      </c>
      <c r="D128" s="3">
        <f t="shared" si="10"/>
        <v>1.0050000000000006</v>
      </c>
      <c r="E128" s="1" t="str">
        <f t="shared" si="11"/>
        <v>-</v>
      </c>
      <c r="F128" s="8">
        <f t="shared" si="14"/>
        <v>3.4398034398038826</v>
      </c>
      <c r="G128" s="8">
        <f t="shared" si="15"/>
        <v>0.50125313283214756</v>
      </c>
      <c r="H128" s="8">
        <f t="shared" si="16"/>
        <v>0.99502487562200137</v>
      </c>
    </row>
    <row r="129" spans="1:8" x14ac:dyDescent="0.3">
      <c r="A129" s="2">
        <v>115</v>
      </c>
      <c r="B129" s="3">
        <f t="shared" si="8"/>
        <v>0.98249999999999771</v>
      </c>
      <c r="C129" s="3">
        <f t="shared" si="9"/>
        <v>1.0025000000000004</v>
      </c>
      <c r="D129" s="3">
        <f t="shared" si="10"/>
        <v>0.99499999999999944</v>
      </c>
      <c r="E129" s="1" t="str">
        <f t="shared" si="11"/>
        <v>-</v>
      </c>
      <c r="F129" s="8">
        <f t="shared" si="14"/>
        <v>3.5623409669215942</v>
      </c>
      <c r="G129" s="8">
        <f t="shared" si="15"/>
        <v>0.49875311720704923</v>
      </c>
      <c r="H129" s="8">
        <f t="shared" si="16"/>
        <v>1.0050251256282539</v>
      </c>
    </row>
    <row r="130" spans="1:8" x14ac:dyDescent="0.3">
      <c r="A130" s="2">
        <v>116</v>
      </c>
      <c r="B130" s="3">
        <f t="shared" si="8"/>
        <v>1.0175000000000023</v>
      </c>
      <c r="C130" s="3">
        <f t="shared" si="9"/>
        <v>0.99749999999999972</v>
      </c>
      <c r="D130" s="3">
        <f t="shared" si="10"/>
        <v>1.0050000000000006</v>
      </c>
      <c r="E130" s="1" t="str">
        <f t="shared" si="11"/>
        <v>-</v>
      </c>
      <c r="F130" s="8">
        <f t="shared" si="14"/>
        <v>3.4398034398038826</v>
      </c>
      <c r="G130" s="8">
        <f t="shared" si="15"/>
        <v>0.50125313283214756</v>
      </c>
      <c r="H130" s="8">
        <f t="shared" si="16"/>
        <v>0.99502487562200137</v>
      </c>
    </row>
    <row r="131" spans="1:8" x14ac:dyDescent="0.3">
      <c r="A131" s="2">
        <v>117</v>
      </c>
      <c r="B131" s="3">
        <f t="shared" si="8"/>
        <v>0.98249999999999771</v>
      </c>
      <c r="C131" s="3">
        <f t="shared" si="9"/>
        <v>1.0025000000000004</v>
      </c>
      <c r="D131" s="3">
        <f t="shared" si="10"/>
        <v>0.99499999999999944</v>
      </c>
      <c r="E131" s="1" t="str">
        <f t="shared" si="11"/>
        <v>-</v>
      </c>
      <c r="F131" s="8">
        <f t="shared" si="14"/>
        <v>3.5623409669215942</v>
      </c>
      <c r="G131" s="8">
        <f t="shared" si="15"/>
        <v>0.49875311720704923</v>
      </c>
      <c r="H131" s="8">
        <f t="shared" si="16"/>
        <v>1.0050251256282539</v>
      </c>
    </row>
    <row r="132" spans="1:8" x14ac:dyDescent="0.3">
      <c r="A132" s="2">
        <v>118</v>
      </c>
      <c r="B132" s="3">
        <f t="shared" si="8"/>
        <v>1.0175000000000023</v>
      </c>
      <c r="C132" s="3">
        <f t="shared" si="9"/>
        <v>0.99749999999999972</v>
      </c>
      <c r="D132" s="3">
        <f t="shared" si="10"/>
        <v>1.0050000000000006</v>
      </c>
      <c r="E132" s="1" t="str">
        <f t="shared" si="11"/>
        <v>-</v>
      </c>
      <c r="F132" s="8">
        <f t="shared" si="14"/>
        <v>3.4398034398038826</v>
      </c>
      <c r="G132" s="8">
        <f t="shared" si="15"/>
        <v>0.50125313283214756</v>
      </c>
      <c r="H132" s="8">
        <f t="shared" si="16"/>
        <v>0.99502487562200137</v>
      </c>
    </row>
    <row r="133" spans="1:8" x14ac:dyDescent="0.3">
      <c r="A133" s="2">
        <v>119</v>
      </c>
      <c r="B133" s="3">
        <f t="shared" si="8"/>
        <v>0.98249999999999771</v>
      </c>
      <c r="C133" s="3">
        <f t="shared" si="9"/>
        <v>1.0025000000000004</v>
      </c>
      <c r="D133" s="3">
        <f t="shared" si="10"/>
        <v>0.99499999999999944</v>
      </c>
      <c r="E133" s="1" t="str">
        <f t="shared" si="11"/>
        <v>-</v>
      </c>
      <c r="F133" s="8">
        <f t="shared" si="14"/>
        <v>3.5623409669215942</v>
      </c>
      <c r="G133" s="8">
        <f t="shared" si="15"/>
        <v>0.49875311720704923</v>
      </c>
      <c r="H133" s="8">
        <f t="shared" si="16"/>
        <v>1.0050251256282539</v>
      </c>
    </row>
    <row r="134" spans="1:8" x14ac:dyDescent="0.3">
      <c r="A134" s="2">
        <v>120</v>
      </c>
      <c r="B134" s="3">
        <f t="shared" si="8"/>
        <v>1.0175000000000023</v>
      </c>
      <c r="C134" s="3">
        <f t="shared" si="9"/>
        <v>0.99749999999999972</v>
      </c>
      <c r="D134" s="3">
        <f t="shared" si="10"/>
        <v>1.0050000000000006</v>
      </c>
      <c r="E134" s="1" t="str">
        <f t="shared" si="11"/>
        <v>-</v>
      </c>
      <c r="F134" s="8">
        <f t="shared" si="14"/>
        <v>3.4398034398038826</v>
      </c>
      <c r="G134" s="8">
        <f t="shared" si="15"/>
        <v>0.50125313283214756</v>
      </c>
      <c r="H134" s="8">
        <f t="shared" si="16"/>
        <v>0.99502487562200137</v>
      </c>
    </row>
    <row r="135" spans="1:8" x14ac:dyDescent="0.3">
      <c r="A135" s="2">
        <v>121</v>
      </c>
      <c r="B135" s="3">
        <f t="shared" si="8"/>
        <v>0.98249999999999771</v>
      </c>
      <c r="C135" s="3">
        <f t="shared" si="9"/>
        <v>1.0025000000000004</v>
      </c>
      <c r="D135" s="3">
        <f t="shared" si="10"/>
        <v>0.99499999999999944</v>
      </c>
      <c r="E135" s="1" t="str">
        <f t="shared" si="11"/>
        <v>-</v>
      </c>
      <c r="F135" s="8">
        <f t="shared" si="14"/>
        <v>3.5623409669215942</v>
      </c>
      <c r="G135" s="8">
        <f t="shared" si="15"/>
        <v>0.49875311720704923</v>
      </c>
      <c r="H135" s="8">
        <f t="shared" si="16"/>
        <v>1.0050251256282539</v>
      </c>
    </row>
    <row r="136" spans="1:8" x14ac:dyDescent="0.3">
      <c r="A136" s="2">
        <v>122</v>
      </c>
      <c r="B136" s="3">
        <f t="shared" si="8"/>
        <v>1.0175000000000023</v>
      </c>
      <c r="C136" s="3">
        <f t="shared" si="9"/>
        <v>0.99749999999999972</v>
      </c>
      <c r="D136" s="3">
        <f t="shared" si="10"/>
        <v>1.0050000000000006</v>
      </c>
      <c r="E136" s="1" t="str">
        <f t="shared" si="11"/>
        <v>-</v>
      </c>
      <c r="F136" s="8">
        <f t="shared" si="14"/>
        <v>3.4398034398038826</v>
      </c>
      <c r="G136" s="8">
        <f t="shared" si="15"/>
        <v>0.50125313283214756</v>
      </c>
      <c r="H136" s="8">
        <f t="shared" si="16"/>
        <v>0.99502487562200137</v>
      </c>
    </row>
    <row r="137" spans="1:8" x14ac:dyDescent="0.3">
      <c r="A137" s="2">
        <v>123</v>
      </c>
      <c r="B137" s="3">
        <f t="shared" si="8"/>
        <v>0.98249999999999771</v>
      </c>
      <c r="C137" s="3">
        <f t="shared" si="9"/>
        <v>1.0025000000000004</v>
      </c>
      <c r="D137" s="3">
        <f t="shared" si="10"/>
        <v>0.99499999999999944</v>
      </c>
      <c r="E137" s="1" t="str">
        <f t="shared" si="11"/>
        <v>-</v>
      </c>
      <c r="F137" s="8">
        <f t="shared" si="14"/>
        <v>3.5623409669215942</v>
      </c>
      <c r="G137" s="8">
        <f t="shared" si="15"/>
        <v>0.49875311720704923</v>
      </c>
      <c r="H137" s="8">
        <f t="shared" si="16"/>
        <v>1.0050251256282539</v>
      </c>
    </row>
    <row r="138" spans="1:8" x14ac:dyDescent="0.3">
      <c r="A138" s="2">
        <v>124</v>
      </c>
      <c r="B138" s="3">
        <f t="shared" si="8"/>
        <v>1.0175000000000023</v>
      </c>
      <c r="C138" s="3">
        <f t="shared" si="9"/>
        <v>0.99749999999999972</v>
      </c>
      <c r="D138" s="3">
        <f t="shared" si="10"/>
        <v>1.0050000000000006</v>
      </c>
      <c r="E138" s="1" t="str">
        <f t="shared" si="11"/>
        <v>-</v>
      </c>
      <c r="F138" s="8">
        <f t="shared" si="14"/>
        <v>3.4398034398038826</v>
      </c>
      <c r="G138" s="8">
        <f t="shared" si="15"/>
        <v>0.50125313283214756</v>
      </c>
      <c r="H138" s="8">
        <f t="shared" si="16"/>
        <v>0.99502487562200137</v>
      </c>
    </row>
    <row r="139" spans="1:8" x14ac:dyDescent="0.3">
      <c r="A139" s="2">
        <v>125</v>
      </c>
      <c r="B139" s="3">
        <f t="shared" si="8"/>
        <v>0.98249999999999771</v>
      </c>
      <c r="C139" s="3">
        <f t="shared" si="9"/>
        <v>1.0025000000000004</v>
      </c>
      <c r="D139" s="3">
        <f t="shared" si="10"/>
        <v>0.99499999999999944</v>
      </c>
      <c r="E139" s="1" t="str">
        <f t="shared" si="11"/>
        <v>-</v>
      </c>
      <c r="F139" s="8">
        <f t="shared" si="14"/>
        <v>3.5623409669215942</v>
      </c>
      <c r="G139" s="8">
        <f t="shared" si="15"/>
        <v>0.49875311720704923</v>
      </c>
      <c r="H139" s="8">
        <f t="shared" si="16"/>
        <v>1.0050251256282539</v>
      </c>
    </row>
    <row r="140" spans="1:8" x14ac:dyDescent="0.3">
      <c r="A140" s="2">
        <v>126</v>
      </c>
      <c r="B140" s="3">
        <f t="shared" si="8"/>
        <v>1.0175000000000023</v>
      </c>
      <c r="C140" s="3">
        <f t="shared" si="9"/>
        <v>0.99749999999999972</v>
      </c>
      <c r="D140" s="3">
        <f t="shared" si="10"/>
        <v>1.0050000000000006</v>
      </c>
      <c r="E140" s="1" t="str">
        <f t="shared" si="11"/>
        <v>-</v>
      </c>
      <c r="F140" s="8">
        <f t="shared" si="14"/>
        <v>3.4398034398038826</v>
      </c>
      <c r="G140" s="8">
        <f t="shared" si="15"/>
        <v>0.50125313283214756</v>
      </c>
      <c r="H140" s="8">
        <f t="shared" si="16"/>
        <v>0.99502487562200137</v>
      </c>
    </row>
    <row r="141" spans="1:8" x14ac:dyDescent="0.3">
      <c r="A141" s="2">
        <v>127</v>
      </c>
      <c r="B141" s="3">
        <f t="shared" si="8"/>
        <v>0.98249999999999771</v>
      </c>
      <c r="C141" s="3">
        <f t="shared" si="9"/>
        <v>1.0025000000000004</v>
      </c>
      <c r="D141" s="3">
        <f t="shared" si="10"/>
        <v>0.99499999999999944</v>
      </c>
      <c r="E141" s="1" t="str">
        <f t="shared" si="11"/>
        <v>-</v>
      </c>
      <c r="F141" s="8">
        <f t="shared" si="14"/>
        <v>3.5623409669215942</v>
      </c>
      <c r="G141" s="8">
        <f t="shared" si="15"/>
        <v>0.49875311720704923</v>
      </c>
      <c r="H141" s="8">
        <f t="shared" si="16"/>
        <v>1.0050251256282539</v>
      </c>
    </row>
    <row r="142" spans="1:8" x14ac:dyDescent="0.3">
      <c r="A142" s="2">
        <v>128</v>
      </c>
      <c r="B142" s="3">
        <f t="shared" si="8"/>
        <v>1.0175000000000023</v>
      </c>
      <c r="C142" s="3">
        <f t="shared" si="9"/>
        <v>0.99749999999999972</v>
      </c>
      <c r="D142" s="3">
        <f t="shared" si="10"/>
        <v>1.0050000000000006</v>
      </c>
      <c r="E142" s="1" t="str">
        <f t="shared" si="11"/>
        <v>-</v>
      </c>
      <c r="F142" s="8">
        <f t="shared" si="14"/>
        <v>3.4398034398038826</v>
      </c>
      <c r="G142" s="8">
        <f t="shared" si="15"/>
        <v>0.50125313283214756</v>
      </c>
      <c r="H142" s="8">
        <f t="shared" si="16"/>
        <v>0.99502487562200137</v>
      </c>
    </row>
    <row r="143" spans="1:8" x14ac:dyDescent="0.3">
      <c r="A143" s="2">
        <v>129</v>
      </c>
      <c r="B143" s="3">
        <f t="shared" si="8"/>
        <v>0.98249999999999771</v>
      </c>
      <c r="C143" s="3">
        <f t="shared" si="9"/>
        <v>1.0025000000000004</v>
      </c>
      <c r="D143" s="3">
        <f t="shared" si="10"/>
        <v>0.99499999999999944</v>
      </c>
      <c r="E143" s="1" t="str">
        <f t="shared" si="11"/>
        <v>-</v>
      </c>
      <c r="F143" s="8">
        <f t="shared" si="14"/>
        <v>3.5623409669215942</v>
      </c>
      <c r="G143" s="8">
        <f t="shared" si="15"/>
        <v>0.49875311720704923</v>
      </c>
      <c r="H143" s="8">
        <f t="shared" si="16"/>
        <v>1.0050251256282539</v>
      </c>
    </row>
    <row r="144" spans="1:8" x14ac:dyDescent="0.3">
      <c r="A144" s="2">
        <v>130</v>
      </c>
      <c r="B144" s="3">
        <f t="shared" ref="B144:B149" si="17">-1/2*(-3-4*C143+5*D143)</f>
        <v>1.0175000000000023</v>
      </c>
      <c r="C144" s="3">
        <f t="shared" ref="C144:C149" si="18">1/2*(1-0*B144+1*D143)</f>
        <v>0.99749999999999972</v>
      </c>
      <c r="D144" s="3">
        <f t="shared" ref="D144:D149" si="19">1/5*(7+1*B144-3*C144)</f>
        <v>1.0050000000000006</v>
      </c>
      <c r="E144" s="1" t="str">
        <f t="shared" ref="E144:E149" si="20">IF(SUM(F144:H144)&lt;$H$11,"Converged","-")</f>
        <v>-</v>
      </c>
      <c r="F144" s="8">
        <f t="shared" si="14"/>
        <v>3.4398034398038826</v>
      </c>
      <c r="G144" s="8">
        <f t="shared" si="15"/>
        <v>0.50125313283214756</v>
      </c>
      <c r="H144" s="8">
        <f t="shared" si="16"/>
        <v>0.99502487562200137</v>
      </c>
    </row>
    <row r="145" spans="1:8" x14ac:dyDescent="0.3">
      <c r="A145" s="2">
        <v>131</v>
      </c>
      <c r="B145" s="3">
        <f t="shared" si="17"/>
        <v>0.98249999999999771</v>
      </c>
      <c r="C145" s="3">
        <f t="shared" si="18"/>
        <v>1.0025000000000004</v>
      </c>
      <c r="D145" s="3">
        <f t="shared" si="19"/>
        <v>0.99499999999999944</v>
      </c>
      <c r="E145" s="1" t="str">
        <f t="shared" si="20"/>
        <v>-</v>
      </c>
      <c r="F145" s="8">
        <f t="shared" si="14"/>
        <v>3.5623409669215942</v>
      </c>
      <c r="G145" s="8">
        <f t="shared" si="15"/>
        <v>0.49875311720704923</v>
      </c>
      <c r="H145" s="8">
        <f t="shared" si="16"/>
        <v>1.0050251256282539</v>
      </c>
    </row>
    <row r="146" spans="1:8" x14ac:dyDescent="0.3">
      <c r="A146" s="2">
        <v>132</v>
      </c>
      <c r="B146" s="3">
        <f t="shared" si="17"/>
        <v>1.0175000000000023</v>
      </c>
      <c r="C146" s="3">
        <f t="shared" si="18"/>
        <v>0.99749999999999972</v>
      </c>
      <c r="D146" s="3">
        <f t="shared" si="19"/>
        <v>1.0050000000000006</v>
      </c>
      <c r="E146" s="1" t="str">
        <f t="shared" si="20"/>
        <v>-</v>
      </c>
      <c r="F146" s="8">
        <f t="shared" si="14"/>
        <v>3.4398034398038826</v>
      </c>
      <c r="G146" s="8">
        <f t="shared" si="15"/>
        <v>0.50125313283214756</v>
      </c>
      <c r="H146" s="8">
        <f t="shared" si="16"/>
        <v>0.99502487562200137</v>
      </c>
    </row>
    <row r="147" spans="1:8" x14ac:dyDescent="0.3">
      <c r="A147" s="2">
        <v>133</v>
      </c>
      <c r="B147" s="3">
        <f t="shared" si="17"/>
        <v>0.98249999999999771</v>
      </c>
      <c r="C147" s="3">
        <f t="shared" si="18"/>
        <v>1.0025000000000004</v>
      </c>
      <c r="D147" s="3">
        <f t="shared" si="19"/>
        <v>0.99499999999999944</v>
      </c>
      <c r="E147" s="1" t="str">
        <f t="shared" si="20"/>
        <v>-</v>
      </c>
      <c r="F147" s="8">
        <f t="shared" si="14"/>
        <v>3.5623409669215942</v>
      </c>
      <c r="G147" s="8">
        <f t="shared" si="15"/>
        <v>0.49875311720704923</v>
      </c>
      <c r="H147" s="8">
        <f t="shared" si="16"/>
        <v>1.0050251256282539</v>
      </c>
    </row>
    <row r="148" spans="1:8" x14ac:dyDescent="0.3">
      <c r="A148" s="2">
        <v>134</v>
      </c>
      <c r="B148" s="3">
        <f t="shared" si="17"/>
        <v>1.0175000000000023</v>
      </c>
      <c r="C148" s="3">
        <f t="shared" si="18"/>
        <v>0.99749999999999972</v>
      </c>
      <c r="D148" s="3">
        <f t="shared" si="19"/>
        <v>1.0050000000000006</v>
      </c>
      <c r="E148" s="1" t="str">
        <f t="shared" si="20"/>
        <v>-</v>
      </c>
      <c r="F148" s="8">
        <f t="shared" si="14"/>
        <v>3.4398034398038826</v>
      </c>
      <c r="G148" s="8">
        <f t="shared" si="15"/>
        <v>0.50125313283214756</v>
      </c>
      <c r="H148" s="8">
        <f t="shared" si="16"/>
        <v>0.99502487562200137</v>
      </c>
    </row>
    <row r="149" spans="1:8" x14ac:dyDescent="0.3">
      <c r="A149" s="2">
        <v>135</v>
      </c>
      <c r="B149" s="3">
        <f t="shared" si="17"/>
        <v>0.98249999999999771</v>
      </c>
      <c r="C149" s="3">
        <f t="shared" si="18"/>
        <v>1.0025000000000004</v>
      </c>
      <c r="D149" s="3">
        <f t="shared" si="19"/>
        <v>0.99499999999999944</v>
      </c>
      <c r="E149" s="1" t="str">
        <f t="shared" si="20"/>
        <v>-</v>
      </c>
      <c r="F149" s="8">
        <f t="shared" si="14"/>
        <v>3.5623409669215942</v>
      </c>
      <c r="G149" s="8">
        <f t="shared" si="15"/>
        <v>0.49875311720704923</v>
      </c>
      <c r="H149" s="8">
        <f t="shared" si="16"/>
        <v>1.0050251256282539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Gauss-Seidel Example</vt:lpstr>
      <vt:lpstr>Gauss-Seidel w Pivoting Ex</vt:lpstr>
      <vt:lpstr>Gauss-Seidel w Pivoting Ex 2</vt:lpstr>
    </vt:vector>
  </TitlesOfParts>
  <Company>Razer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Cronin</dc:creator>
  <cp:lastModifiedBy>Duane Cronin</cp:lastModifiedBy>
  <dcterms:created xsi:type="dcterms:W3CDTF">2021-09-25T02:00:59Z</dcterms:created>
  <dcterms:modified xsi:type="dcterms:W3CDTF">2026-05-26T00:54:21Z</dcterms:modified>
</cp:coreProperties>
</file>