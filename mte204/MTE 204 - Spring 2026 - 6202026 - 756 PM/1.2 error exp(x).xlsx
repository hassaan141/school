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y_documents\Course\MTE_204\Spring_2026\notes\"/>
    </mc:Choice>
  </mc:AlternateContent>
  <xr:revisionPtr revIDLastSave="0" documentId="13_ncr:1_{58D0C3E5-98CB-4CF1-BBB5-12364C01F9F3}" xr6:coauthVersionLast="47" xr6:coauthVersionMax="47" xr10:uidLastSave="{00000000-0000-0000-0000-000000000000}"/>
  <bookViews>
    <workbookView xWindow="20688" yWindow="2040" windowWidth="20400" windowHeight="12120" xr2:uid="{A34B132C-858D-4FB7-8191-498FA0DB63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5" i="1" l="1"/>
  <c r="L18" i="1"/>
  <c r="K20" i="1"/>
  <c r="L14" i="1"/>
  <c r="D9" i="1"/>
  <c r="K9" i="1"/>
  <c r="J20" i="1"/>
  <c r="L20" i="1" s="1"/>
  <c r="J19" i="1"/>
  <c r="L19" i="1" s="1"/>
  <c r="J18" i="1"/>
  <c r="K18" i="1" s="1"/>
  <c r="J17" i="1"/>
  <c r="L17" i="1" s="1"/>
  <c r="J16" i="1"/>
  <c r="L16" i="1" s="1"/>
  <c r="J15" i="1"/>
  <c r="L15" i="1" s="1"/>
  <c r="E14" i="1"/>
  <c r="C20" i="1"/>
  <c r="E20" i="1" s="1"/>
  <c r="C19" i="1"/>
  <c r="E19" i="1" s="1"/>
  <c r="C18" i="1"/>
  <c r="E18" i="1" s="1"/>
  <c r="C17" i="1"/>
  <c r="D17" i="1" s="1"/>
  <c r="C16" i="1"/>
  <c r="D16" i="1" s="1"/>
  <c r="C15" i="1"/>
  <c r="E15" i="1" s="1"/>
  <c r="D20" i="1" l="1"/>
  <c r="K19" i="1"/>
  <c r="D15" i="1"/>
  <c r="K17" i="1"/>
  <c r="D18" i="1"/>
  <c r="D19" i="1"/>
  <c r="K16" i="1"/>
  <c r="E16" i="1"/>
  <c r="E17" i="1"/>
</calcChain>
</file>

<file path=xl/sharedStrings.xml><?xml version="1.0" encoding="utf-8"?>
<sst xmlns="http://schemas.openxmlformats.org/spreadsheetml/2006/main" count="19" uniqueCount="9">
  <si>
    <t>Calculation of exp(x) using Maclaurin series expansion</t>
  </si>
  <si>
    <t xml:space="preserve">Example </t>
  </si>
  <si>
    <t>exp(0.5)</t>
  </si>
  <si>
    <t>Terms</t>
  </si>
  <si>
    <t>ε_true</t>
  </si>
  <si>
    <t>ε_approx</t>
  </si>
  <si>
    <t>(%)</t>
  </si>
  <si>
    <t>True value</t>
  </si>
  <si>
    <t>exp(0.25)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</si>
</sst>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"/>
    <numFmt numFmtId="165" formatCode="0.000000"/>
    <numFmt numFmtId="166" formatCode="0.00000000000"/>
  </numFmts>
  <fonts count="3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2" fillId="0" borderId="0" xfId="0" quotePrefix="1" applyFont="1"/>
    <xf numFmtId="166" fontId="0" fillId="0" borderId="0" xfId="0" applyNumberFormat="1"/>
    <xf numFmtId="0" fontId="0" fillId="0" borderId="1" xfId="0" applyBorder="1"/>
    <xf numFmtId="0" fontId="0" fillId="0" borderId="2" xfId="0" applyBorder="1"/>
    <xf numFmtId="0" fontId="2" fillId="0" borderId="2" xfId="0" applyFont="1" applyBorder="1"/>
    <xf numFmtId="0" fontId="2" fillId="0" borderId="3" xfId="0" applyFont="1" applyBorder="1"/>
    <xf numFmtId="0" fontId="0" fillId="0" borderId="4" xfId="0" applyBorder="1"/>
    <xf numFmtId="0" fontId="0" fillId="0" borderId="5" xfId="0" applyBorder="1"/>
    <xf numFmtId="0" fontId="2" fillId="0" borderId="5" xfId="0" quotePrefix="1" applyFont="1" applyBorder="1"/>
    <xf numFmtId="0" fontId="2" fillId="0" borderId="6" xfId="0" quotePrefix="1" applyFont="1" applyBorder="1"/>
    <xf numFmtId="164" fontId="0" fillId="0" borderId="2" xfId="0" applyNumberFormat="1" applyBorder="1"/>
    <xf numFmtId="165" fontId="0" fillId="0" borderId="2" xfId="0" applyNumberFormat="1" applyBorder="1"/>
    <xf numFmtId="165" fontId="0" fillId="0" borderId="3" xfId="0" applyNumberFormat="1" applyBorder="1"/>
    <xf numFmtId="0" fontId="0" fillId="0" borderId="7" xfId="0" applyBorder="1"/>
    <xf numFmtId="165" fontId="0" fillId="0" borderId="8" xfId="0" applyNumberFormat="1" applyBorder="1"/>
    <xf numFmtId="164" fontId="0" fillId="0" borderId="5" xfId="0" applyNumberFormat="1" applyBorder="1"/>
    <xf numFmtId="165" fontId="0" fillId="0" borderId="5" xfId="0" applyNumberFormat="1" applyBorder="1"/>
    <xf numFmtId="165" fontId="0" fillId="0" borderId="6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323850</xdr:colOff>
      <xdr:row>2</xdr:row>
      <xdr:rowOff>28575</xdr:rowOff>
    </xdr:from>
    <xdr:to>
      <xdr:col>5</xdr:col>
      <xdr:colOff>304800</xdr:colOff>
      <xdr:row>5</xdr:row>
      <xdr:rowOff>142875</xdr:rowOff>
    </xdr:to>
    <xdr:pic>
      <xdr:nvPicPr>
        <xdr:cNvPr id="2" name="Picture 1" descr="C:\Users\duane\AppData\Roaming\PixelMetrics\CaptureWiz\Temp\87.png">
          <a:extLst>
            <a:ext uri="{FF2B5EF4-FFF2-40B4-BE49-F238E27FC236}">
              <a16:creationId xmlns:a16="http://schemas.microsoft.com/office/drawing/2014/main" id="{7B6A7C05-A576-4F08-803A-46E1581641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409575"/>
          <a:ext cx="3114675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0F0A6-6D68-4F98-9D52-39FE91954F45}">
  <dimension ref="A1:P20"/>
  <sheetViews>
    <sheetView tabSelected="1" workbookViewId="0">
      <selection activeCell="M9" sqref="M9"/>
    </sheetView>
  </sheetViews>
  <sheetFormatPr defaultRowHeight="14.4" x14ac:dyDescent="0.3"/>
  <cols>
    <col min="3" max="5" width="9.5546875" bestFit="1" customWidth="1"/>
    <col min="10" max="10" width="10.33203125" bestFit="1" customWidth="1"/>
    <col min="11" max="11" width="12" bestFit="1" customWidth="1"/>
    <col min="12" max="12" width="9.5546875" bestFit="1" customWidth="1"/>
    <col min="16" max="16" width="13.6640625" bestFit="1" customWidth="1"/>
  </cols>
  <sheetData>
    <row r="1" spans="1:16" x14ac:dyDescent="0.3">
      <c r="A1" s="1" t="s">
        <v>0</v>
      </c>
    </row>
    <row r="6" spans="1:16" x14ac:dyDescent="0.3">
      <c r="P6" s="6"/>
    </row>
    <row r="9" spans="1:16" x14ac:dyDescent="0.3">
      <c r="C9" t="s">
        <v>7</v>
      </c>
      <c r="D9">
        <f>+EXP(C11)</f>
        <v>1.6487212707001282</v>
      </c>
      <c r="J9" t="s">
        <v>7</v>
      </c>
      <c r="K9">
        <f>+EXP(J11)</f>
        <v>1.2840254166877414</v>
      </c>
    </row>
    <row r="10" spans="1:16" x14ac:dyDescent="0.3">
      <c r="A10" t="s">
        <v>1</v>
      </c>
      <c r="H10" t="s">
        <v>1</v>
      </c>
    </row>
    <row r="11" spans="1:16" ht="15" thickBot="1" x14ac:dyDescent="0.35">
      <c r="A11" t="s">
        <v>2</v>
      </c>
      <c r="C11">
        <v>0.5</v>
      </c>
      <c r="H11" t="s">
        <v>8</v>
      </c>
      <c r="J11">
        <v>0.25</v>
      </c>
    </row>
    <row r="12" spans="1:16" x14ac:dyDescent="0.3">
      <c r="B12" t="s">
        <v>3</v>
      </c>
      <c r="C12" t="s">
        <v>2</v>
      </c>
      <c r="D12" s="2" t="s">
        <v>5</v>
      </c>
      <c r="E12" s="2" t="s">
        <v>4</v>
      </c>
      <c r="H12" s="7"/>
      <c r="I12" s="8" t="s">
        <v>3</v>
      </c>
      <c r="J12" s="8" t="s">
        <v>8</v>
      </c>
      <c r="K12" s="9" t="s">
        <v>5</v>
      </c>
      <c r="L12" s="10" t="s">
        <v>4</v>
      </c>
    </row>
    <row r="13" spans="1:16" ht="15" thickBot="1" x14ac:dyDescent="0.35">
      <c r="D13" s="5" t="s">
        <v>6</v>
      </c>
      <c r="E13" s="5" t="s">
        <v>6</v>
      </c>
      <c r="H13" s="11"/>
      <c r="I13" s="12"/>
      <c r="J13" s="12"/>
      <c r="K13" s="13" t="s">
        <v>6</v>
      </c>
      <c r="L13" s="14" t="s">
        <v>6</v>
      </c>
    </row>
    <row r="14" spans="1:16" x14ac:dyDescent="0.3">
      <c r="B14">
        <v>1</v>
      </c>
      <c r="C14" s="3">
        <v>1</v>
      </c>
      <c r="D14" s="4"/>
      <c r="E14" s="4">
        <f>+(EXP($C$11)-C14)/EXP($C$11)*100</f>
        <v>39.346934028736655</v>
      </c>
      <c r="H14" s="7"/>
      <c r="I14" s="8">
        <v>1</v>
      </c>
      <c r="J14" s="15">
        <v>1</v>
      </c>
      <c r="K14" s="16"/>
      <c r="L14" s="17">
        <f>+(EXP($J$11)-J14)/EXP($J$11)*100</f>
        <v>22.119921692859506</v>
      </c>
    </row>
    <row r="15" spans="1:16" x14ac:dyDescent="0.3">
      <c r="B15">
        <v>2</v>
      </c>
      <c r="C15" s="3">
        <f>1+C11</f>
        <v>1.5</v>
      </c>
      <c r="D15" s="4">
        <f>+(C15-C14)/C15*100</f>
        <v>33.333333333333329</v>
      </c>
      <c r="E15" s="4">
        <f t="shared" ref="E15:E20" si="0">+(EXP($C$11)-C15)/EXP($C$11)*100</f>
        <v>9.0204010431049895</v>
      </c>
      <c r="H15" s="18"/>
      <c r="I15">
        <v>2</v>
      </c>
      <c r="J15" s="3">
        <f>1+J11</f>
        <v>1.25</v>
      </c>
      <c r="K15" s="4">
        <f>+(J15-J14)/J15*100</f>
        <v>20</v>
      </c>
      <c r="L15" s="19">
        <f t="shared" ref="L15:L20" si="1">+(EXP($J$11)-J15)/EXP($J$11)*100</f>
        <v>2.6499021160743848</v>
      </c>
    </row>
    <row r="16" spans="1:16" x14ac:dyDescent="0.3">
      <c r="B16">
        <v>3</v>
      </c>
      <c r="C16" s="3">
        <f>1+C11+C11^2/2</f>
        <v>1.625</v>
      </c>
      <c r="D16" s="4">
        <f t="shared" ref="D16:D20" si="2">+(C16-C15)/C16*100</f>
        <v>7.6923076923076925</v>
      </c>
      <c r="E16" s="4">
        <f t="shared" si="0"/>
        <v>1.4387677966970716</v>
      </c>
      <c r="H16" s="18"/>
      <c r="I16">
        <v>3</v>
      </c>
      <c r="J16" s="3">
        <f>1+J11+J11^2/2</f>
        <v>1.28125</v>
      </c>
      <c r="K16" s="4">
        <f t="shared" ref="K16:K20" si="3">+(J16-J15)/J16*100</f>
        <v>2.4390243902439024</v>
      </c>
      <c r="L16" s="19">
        <f t="shared" si="1"/>
        <v>0.2161496689762443</v>
      </c>
    </row>
    <row r="17" spans="2:12" x14ac:dyDescent="0.3">
      <c r="B17">
        <v>4</v>
      </c>
      <c r="C17" s="3">
        <f>1+C11+C11^2/2+C11^3/FACT(3)</f>
        <v>1.6458333333333333</v>
      </c>
      <c r="D17" s="4">
        <f t="shared" si="2"/>
        <v>1.2658227848101222</v>
      </c>
      <c r="E17" s="4">
        <f t="shared" si="0"/>
        <v>0.17516225562908971</v>
      </c>
      <c r="H17" s="18"/>
      <c r="I17">
        <v>4</v>
      </c>
      <c r="J17" s="3">
        <f>1+J11+J11^2/2+J11^3/FACT(3)</f>
        <v>1.2838541666666667</v>
      </c>
      <c r="K17" s="4">
        <f t="shared" si="3"/>
        <v>0.20283975659229786</v>
      </c>
      <c r="L17" s="19">
        <f t="shared" si="1"/>
        <v>1.3336965051393489E-2</v>
      </c>
    </row>
    <row r="18" spans="2:12" x14ac:dyDescent="0.3">
      <c r="B18">
        <v>5</v>
      </c>
      <c r="C18" s="3">
        <f>1+C11+C11^2/2+C11^3/FACT(3)+C11^4/FACT(4)</f>
        <v>1.6484375</v>
      </c>
      <c r="D18" s="4">
        <f t="shared" si="2"/>
        <v>0.15797788309637101</v>
      </c>
      <c r="E18" s="4">
        <f t="shared" si="0"/>
        <v>1.7211562995586949E-2</v>
      </c>
      <c r="H18" s="18"/>
      <c r="I18">
        <v>5</v>
      </c>
      <c r="J18" s="3">
        <f>1+J11+J11^2/2+J11^3/FACT(3)+J11^4/FACT(4)</f>
        <v>1.2840169270833335</v>
      </c>
      <c r="K18" s="4">
        <f t="shared" si="3"/>
        <v>1.2675877804543727E-2</v>
      </c>
      <c r="L18" s="19">
        <f t="shared" si="1"/>
        <v>6.6117105608491113E-4</v>
      </c>
    </row>
    <row r="19" spans="2:12" x14ac:dyDescent="0.3">
      <c r="B19">
        <v>6</v>
      </c>
      <c r="C19" s="3">
        <f>1+C11+C11^2/2+C11^3/FACT(3)+C11^4/FACT(4)+C11^5/FACT(5)</f>
        <v>1.6486979166666667</v>
      </c>
      <c r="D19" s="4">
        <f t="shared" si="2"/>
        <v>1.5795293002684303E-2</v>
      </c>
      <c r="E19" s="4">
        <f t="shared" si="0"/>
        <v>1.4164937322380168E-3</v>
      </c>
      <c r="H19" s="18"/>
      <c r="I19">
        <v>6</v>
      </c>
      <c r="J19" s="3">
        <f>1+J11+J11^2/2+J11^3/FACT(3)+J11^4/FACT(4)+J11^5/FACT(5)</f>
        <v>1.2840250651041669</v>
      </c>
      <c r="K19" s="4">
        <f t="shared" si="3"/>
        <v>6.3378987331347422E-4</v>
      </c>
      <c r="L19" s="19">
        <f t="shared" si="1"/>
        <v>2.7381356311700421E-5</v>
      </c>
    </row>
    <row r="20" spans="2:12" ht="15" thickBot="1" x14ac:dyDescent="0.35">
      <c r="B20">
        <v>7</v>
      </c>
      <c r="C20" s="3">
        <f>1+C11+C11^2/2+C11^3/FACT(3)+C11^4/FACT(4)+C11^5/FACT(5)+C11^6/FACT(6)</f>
        <v>1.6487196180555554</v>
      </c>
      <c r="D20" s="4">
        <f t="shared" si="2"/>
        <v>1.3162570913293932E-3</v>
      </c>
      <c r="E20" s="4">
        <f t="shared" si="0"/>
        <v>1.0023796029788404E-4</v>
      </c>
      <c r="H20" s="11"/>
      <c r="I20" s="12">
        <v>7</v>
      </c>
      <c r="J20" s="20">
        <f>1+J11+J11^2/2+J11^3/FACT(3)+J11^4/FACT(4)+J11^5/FACT(5)+J11^6/FACT(6)</f>
        <v>1.2840254041883683</v>
      </c>
      <c r="K20" s="21">
        <f t="shared" si="3"/>
        <v>2.6407904413564893E-5</v>
      </c>
      <c r="L20" s="22">
        <f t="shared" si="1"/>
        <v>9.7345215520384023E-7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Waterloo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Duane Cronin</dc:creator>
  <cp:lastModifiedBy>Duane Cronin</cp:lastModifiedBy>
  <dcterms:created xsi:type="dcterms:W3CDTF">2022-09-11T18:31:34Z</dcterms:created>
  <dcterms:modified xsi:type="dcterms:W3CDTF">2026-05-12T01:11:19Z</dcterms:modified>
</cp:coreProperties>
</file>