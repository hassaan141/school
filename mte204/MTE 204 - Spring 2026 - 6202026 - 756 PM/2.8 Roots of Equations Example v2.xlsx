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my_documents\Course\MTE_204\Spring_2026\notes\"/>
    </mc:Choice>
  </mc:AlternateContent>
  <xr:revisionPtr revIDLastSave="0" documentId="13_ncr:1_{C87D5169-4AA4-461C-9348-147A833DCD92}" xr6:coauthVersionLast="47" xr6:coauthVersionMax="47" xr10:uidLastSave="{00000000-0000-0000-0000-000000000000}"/>
  <bookViews>
    <workbookView xWindow="10488" yWindow="0" windowWidth="29400" windowHeight="15876" xr2:uid="{00000000-000D-0000-FFFF-FFFF00000000}"/>
  </bookViews>
  <sheets>
    <sheet name="class example" sheetId="3" r:id="rId1"/>
    <sheet name="FPI converges" sheetId="4" r:id="rId2"/>
    <sheet name="cubic function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" i="1" l="1"/>
  <c r="S7" i="1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M7" i="4"/>
  <c r="AA7" i="3"/>
  <c r="AD7" i="3"/>
  <c r="K7" i="4"/>
  <c r="J8" i="4" s="1"/>
  <c r="K8" i="4" s="1"/>
  <c r="B5" i="4"/>
  <c r="N8" i="4"/>
  <c r="N9" i="4" s="1"/>
  <c r="W7" i="4"/>
  <c r="V7" i="4"/>
  <c r="U7" i="4"/>
  <c r="X7" i="4" s="1"/>
  <c r="O7" i="4"/>
  <c r="A6" i="4"/>
  <c r="A7" i="4" s="1"/>
  <c r="B7" i="4" s="1"/>
  <c r="AC7" i="3"/>
  <c r="M8" i="4" l="1"/>
  <c r="B6" i="4"/>
  <c r="O8" i="4"/>
  <c r="S8" i="4"/>
  <c r="N10" i="4"/>
  <c r="O9" i="4"/>
  <c r="T8" i="4"/>
  <c r="W8" i="4" s="1"/>
  <c r="L7" i="4"/>
  <c r="A8" i="4"/>
  <c r="B8" i="4" s="1"/>
  <c r="AB8" i="3"/>
  <c r="AC8" i="3" s="1"/>
  <c r="AB9" i="3" l="1"/>
  <c r="AD8" i="3"/>
  <c r="O10" i="4"/>
  <c r="N11" i="4"/>
  <c r="V8" i="4"/>
  <c r="U8" i="4"/>
  <c r="J9" i="4"/>
  <c r="L8" i="4"/>
  <c r="A9" i="4"/>
  <c r="B9" i="4" s="1"/>
  <c r="P8" i="3"/>
  <c r="R8" i="3" s="1"/>
  <c r="S7" i="3"/>
  <c r="T7" i="3" s="1"/>
  <c r="Q8" i="3" s="1"/>
  <c r="R7" i="3"/>
  <c r="Y7" i="3"/>
  <c r="X8" i="3" s="1"/>
  <c r="AA8" i="3" s="1"/>
  <c r="AK7" i="3"/>
  <c r="AJ7" i="3"/>
  <c r="K7" i="3"/>
  <c r="J7" i="3"/>
  <c r="B5" i="3"/>
  <c r="AI7" i="3"/>
  <c r="AL7" i="3" s="1"/>
  <c r="A6" i="3"/>
  <c r="A7" i="3" l="1"/>
  <c r="B7" i="3" s="1"/>
  <c r="B6" i="3"/>
  <c r="K9" i="4"/>
  <c r="M9" i="4"/>
  <c r="AB10" i="3"/>
  <c r="AC9" i="3"/>
  <c r="AD9" i="3"/>
  <c r="A10" i="4"/>
  <c r="B10" i="4" s="1"/>
  <c r="N12" i="4"/>
  <c r="O11" i="4"/>
  <c r="Z8" i="4"/>
  <c r="Y8" i="4"/>
  <c r="X8" i="4"/>
  <c r="T9" i="4" s="1"/>
  <c r="W9" i="4" s="1"/>
  <c r="P9" i="3"/>
  <c r="R9" i="3" s="1"/>
  <c r="S8" i="3"/>
  <c r="T8" i="3" s="1"/>
  <c r="Y8" i="3"/>
  <c r="X9" i="3" s="1"/>
  <c r="AA9" i="3" s="1"/>
  <c r="AG8" i="3"/>
  <c r="AJ8" i="3" s="1"/>
  <c r="I8" i="3"/>
  <c r="AH8" i="3"/>
  <c r="AK8" i="3" s="1"/>
  <c r="A8" i="3"/>
  <c r="B8" i="3" s="1"/>
  <c r="Z7" i="3"/>
  <c r="R8" i="1"/>
  <c r="S8" i="1" l="1"/>
  <c r="T8" i="1" s="1"/>
  <c r="U8" i="1"/>
  <c r="AB11" i="3"/>
  <c r="AC10" i="3"/>
  <c r="AD10" i="3"/>
  <c r="S9" i="4"/>
  <c r="V9" i="4" s="1"/>
  <c r="J10" i="4"/>
  <c r="L9" i="4"/>
  <c r="A11" i="4"/>
  <c r="B11" i="4" s="1"/>
  <c r="N13" i="4"/>
  <c r="O12" i="4"/>
  <c r="Z8" i="3"/>
  <c r="Q9" i="3"/>
  <c r="U8" i="3"/>
  <c r="Y9" i="3"/>
  <c r="X10" i="3" s="1"/>
  <c r="AA10" i="3" s="1"/>
  <c r="M8" i="3"/>
  <c r="K8" i="3"/>
  <c r="J8" i="3"/>
  <c r="L8" i="3"/>
  <c r="AI8" i="3"/>
  <c r="A9" i="3"/>
  <c r="B9" i="3" s="1"/>
  <c r="T7" i="1"/>
  <c r="R9" i="1" l="1"/>
  <c r="S9" i="1"/>
  <c r="U9" i="1"/>
  <c r="K10" i="4"/>
  <c r="M10" i="4"/>
  <c r="AB12" i="3"/>
  <c r="AC11" i="3"/>
  <c r="AD11" i="3"/>
  <c r="U9" i="4"/>
  <c r="Z9" i="4" s="1"/>
  <c r="O13" i="4"/>
  <c r="N14" i="4"/>
  <c r="A12" i="4"/>
  <c r="B12" i="4" s="1"/>
  <c r="S9" i="3"/>
  <c r="T9" i="3" s="1"/>
  <c r="P10" i="3"/>
  <c r="R10" i="3" s="1"/>
  <c r="Y10" i="3"/>
  <c r="X11" i="3" s="1"/>
  <c r="AA11" i="3" s="1"/>
  <c r="Z9" i="3"/>
  <c r="AL8" i="3"/>
  <c r="AH9" i="3" s="1"/>
  <c r="AK9" i="3" s="1"/>
  <c r="AM8" i="3"/>
  <c r="AN8" i="3"/>
  <c r="I9" i="3"/>
  <c r="M9" i="3" s="1"/>
  <c r="A10" i="3"/>
  <c r="B10" i="3" s="1"/>
  <c r="T9" i="1"/>
  <c r="R10" i="1"/>
  <c r="S10" i="1" l="1"/>
  <c r="U10" i="1"/>
  <c r="AB13" i="3"/>
  <c r="AC12" i="3"/>
  <c r="AD12" i="3"/>
  <c r="Y9" i="4"/>
  <c r="X9" i="4"/>
  <c r="N15" i="4"/>
  <c r="O14" i="4"/>
  <c r="J11" i="4"/>
  <c r="L10" i="4"/>
  <c r="A13" i="4"/>
  <c r="B13" i="4" s="1"/>
  <c r="Q10" i="3"/>
  <c r="U9" i="3"/>
  <c r="K9" i="3"/>
  <c r="Y11" i="3"/>
  <c r="X12" i="3" s="1"/>
  <c r="AA12" i="3" s="1"/>
  <c r="Z10" i="3"/>
  <c r="AG9" i="3"/>
  <c r="AJ9" i="3" s="1"/>
  <c r="J9" i="3"/>
  <c r="L9" i="3"/>
  <c r="A11" i="3"/>
  <c r="B11" i="3" s="1"/>
  <c r="R11" i="1"/>
  <c r="T10" i="1"/>
  <c r="S11" i="1" l="1"/>
  <c r="U11" i="1"/>
  <c r="AB14" i="3"/>
  <c r="AC13" i="3"/>
  <c r="AD13" i="3"/>
  <c r="K11" i="4"/>
  <c r="M11" i="4"/>
  <c r="I10" i="3"/>
  <c r="K10" i="3" s="1"/>
  <c r="T10" i="4"/>
  <c r="W10" i="4" s="1"/>
  <c r="S10" i="4"/>
  <c r="N16" i="4"/>
  <c r="O15" i="4"/>
  <c r="A14" i="4"/>
  <c r="B14" i="4" s="1"/>
  <c r="S10" i="3"/>
  <c r="T10" i="3" s="1"/>
  <c r="P11" i="3"/>
  <c r="R11" i="3" s="1"/>
  <c r="Y12" i="3"/>
  <c r="X13" i="3" s="1"/>
  <c r="AA13" i="3" s="1"/>
  <c r="Z11" i="3"/>
  <c r="AI9" i="3"/>
  <c r="AL9" i="3" s="1"/>
  <c r="AH10" i="3" s="1"/>
  <c r="AK10" i="3" s="1"/>
  <c r="L10" i="3"/>
  <c r="M10" i="3"/>
  <c r="A12" i="3"/>
  <c r="B12" i="3" s="1"/>
  <c r="R12" i="1"/>
  <c r="T11" i="1"/>
  <c r="S12" i="1" l="1"/>
  <c r="U12" i="1"/>
  <c r="J10" i="3"/>
  <c r="I11" i="3" s="1"/>
  <c r="K11" i="3" s="1"/>
  <c r="AB15" i="3"/>
  <c r="AC14" i="3"/>
  <c r="AD14" i="3"/>
  <c r="U10" i="4"/>
  <c r="V10" i="4"/>
  <c r="A15" i="4"/>
  <c r="B15" i="4" s="1"/>
  <c r="N17" i="4"/>
  <c r="O16" i="4"/>
  <c r="J12" i="4"/>
  <c r="L11" i="4"/>
  <c r="AM9" i="3"/>
  <c r="AN9" i="3"/>
  <c r="Q11" i="3"/>
  <c r="U10" i="3"/>
  <c r="Y13" i="3"/>
  <c r="X14" i="3" s="1"/>
  <c r="AA14" i="3" s="1"/>
  <c r="Z12" i="3"/>
  <c r="AG10" i="3"/>
  <c r="AJ10" i="3" s="1"/>
  <c r="A13" i="3"/>
  <c r="B13" i="3" s="1"/>
  <c r="R13" i="1"/>
  <c r="T12" i="1"/>
  <c r="S13" i="1" l="1"/>
  <c r="U13" i="1"/>
  <c r="K12" i="4"/>
  <c r="M12" i="4"/>
  <c r="J11" i="3"/>
  <c r="L11" i="3"/>
  <c r="M11" i="3"/>
  <c r="AB16" i="3"/>
  <c r="AC15" i="3"/>
  <c r="AD15" i="3"/>
  <c r="Z10" i="4"/>
  <c r="Y10" i="4"/>
  <c r="X10" i="4"/>
  <c r="O17" i="4"/>
  <c r="N18" i="4"/>
  <c r="A16" i="4"/>
  <c r="B16" i="4" s="1"/>
  <c r="P12" i="3"/>
  <c r="R12" i="3" s="1"/>
  <c r="S11" i="3"/>
  <c r="T11" i="3" s="1"/>
  <c r="Y14" i="3"/>
  <c r="X15" i="3" s="1"/>
  <c r="AA15" i="3" s="1"/>
  <c r="Z13" i="3"/>
  <c r="I12" i="3"/>
  <c r="J12" i="3" s="1"/>
  <c r="A14" i="3"/>
  <c r="B14" i="3" s="1"/>
  <c r="AI10" i="3"/>
  <c r="AL10" i="3" s="1"/>
  <c r="R14" i="1"/>
  <c r="T13" i="1"/>
  <c r="S14" i="1" l="1"/>
  <c r="U14" i="1"/>
  <c r="AB17" i="3"/>
  <c r="AC16" i="3"/>
  <c r="AD16" i="3"/>
  <c r="T11" i="4"/>
  <c r="W11" i="4" s="1"/>
  <c r="S11" i="4"/>
  <c r="A17" i="4"/>
  <c r="B17" i="4" s="1"/>
  <c r="J13" i="4"/>
  <c r="L12" i="4"/>
  <c r="N19" i="4"/>
  <c r="O18" i="4"/>
  <c r="Q12" i="3"/>
  <c r="U11" i="3"/>
  <c r="Y15" i="3"/>
  <c r="Z15" i="3" s="1"/>
  <c r="Z14" i="3"/>
  <c r="K12" i="3"/>
  <c r="I13" i="3" s="1"/>
  <c r="M13" i="3" s="1"/>
  <c r="M12" i="3"/>
  <c r="L12" i="3"/>
  <c r="A15" i="3"/>
  <c r="B15" i="3" s="1"/>
  <c r="AH11" i="3"/>
  <c r="AK11" i="3" s="1"/>
  <c r="AM10" i="3"/>
  <c r="AN10" i="3"/>
  <c r="R15" i="1"/>
  <c r="T14" i="1"/>
  <c r="S15" i="1" l="1"/>
  <c r="U15" i="1"/>
  <c r="K13" i="4"/>
  <c r="M13" i="4"/>
  <c r="AB18" i="3"/>
  <c r="AC17" i="3"/>
  <c r="AD17" i="3"/>
  <c r="V11" i="4"/>
  <c r="U11" i="4"/>
  <c r="A18" i="4"/>
  <c r="B18" i="4" s="1"/>
  <c r="N20" i="4"/>
  <c r="O19" i="4"/>
  <c r="S12" i="3"/>
  <c r="T12" i="3" s="1"/>
  <c r="P13" i="3"/>
  <c r="R13" i="3" s="1"/>
  <c r="X16" i="3"/>
  <c r="AA16" i="3" s="1"/>
  <c r="L13" i="3"/>
  <c r="J13" i="3"/>
  <c r="K13" i="3"/>
  <c r="AG11" i="3"/>
  <c r="A16" i="3"/>
  <c r="B16" i="3" s="1"/>
  <c r="R16" i="1"/>
  <c r="T15" i="1"/>
  <c r="S16" i="1" l="1"/>
  <c r="U16" i="1"/>
  <c r="AB19" i="3"/>
  <c r="AC18" i="3"/>
  <c r="AD18" i="3"/>
  <c r="Z11" i="4"/>
  <c r="Y11" i="4"/>
  <c r="X11" i="4"/>
  <c r="T12" i="4" s="1"/>
  <c r="W12" i="4" s="1"/>
  <c r="J14" i="4"/>
  <c r="L13" i="4"/>
  <c r="A19" i="4"/>
  <c r="B19" i="4" s="1"/>
  <c r="N21" i="4"/>
  <c r="O20" i="4"/>
  <c r="Q13" i="3"/>
  <c r="U12" i="3"/>
  <c r="Y16" i="3"/>
  <c r="AI11" i="3"/>
  <c r="AL11" i="3" s="1"/>
  <c r="AH12" i="3" s="1"/>
  <c r="AK12" i="3" s="1"/>
  <c r="AJ11" i="3"/>
  <c r="I14" i="3"/>
  <c r="A17" i="3"/>
  <c r="B17" i="3" s="1"/>
  <c r="R17" i="1"/>
  <c r="T16" i="1"/>
  <c r="S17" i="1" l="1"/>
  <c r="U17" i="1"/>
  <c r="K14" i="4"/>
  <c r="M14" i="4"/>
  <c r="AB20" i="3"/>
  <c r="AC19" i="3"/>
  <c r="AD19" i="3"/>
  <c r="S12" i="4"/>
  <c r="A20" i="4"/>
  <c r="B20" i="4" s="1"/>
  <c r="N22" i="4"/>
  <c r="O21" i="4"/>
  <c r="P14" i="3"/>
  <c r="R14" i="3" s="1"/>
  <c r="S13" i="3"/>
  <c r="T13" i="3" s="1"/>
  <c r="Z16" i="3"/>
  <c r="X17" i="3"/>
  <c r="AA17" i="3" s="1"/>
  <c r="AN11" i="3"/>
  <c r="AM11" i="3"/>
  <c r="K14" i="3"/>
  <c r="J14" i="3"/>
  <c r="L14" i="3"/>
  <c r="M14" i="3"/>
  <c r="AG12" i="3"/>
  <c r="AJ12" i="3" s="1"/>
  <c r="A18" i="3"/>
  <c r="B18" i="3" s="1"/>
  <c r="R18" i="1"/>
  <c r="T17" i="1"/>
  <c r="S18" i="1" l="1"/>
  <c r="U18" i="1"/>
  <c r="AB21" i="3"/>
  <c r="AC20" i="3"/>
  <c r="AD20" i="3"/>
  <c r="V12" i="4"/>
  <c r="U12" i="4"/>
  <c r="N23" i="4"/>
  <c r="O22" i="4"/>
  <c r="J15" i="4"/>
  <c r="L14" i="4"/>
  <c r="A21" i="4"/>
  <c r="B21" i="4" s="1"/>
  <c r="Q14" i="3"/>
  <c r="U13" i="3"/>
  <c r="Y17" i="3"/>
  <c r="I15" i="3"/>
  <c r="J15" i="3" s="1"/>
  <c r="AI12" i="3"/>
  <c r="AL12" i="3" s="1"/>
  <c r="A19" i="3"/>
  <c r="B19" i="3" s="1"/>
  <c r="R19" i="1"/>
  <c r="T18" i="1"/>
  <c r="S19" i="1" l="1"/>
  <c r="U19" i="1"/>
  <c r="K15" i="4"/>
  <c r="M15" i="4"/>
  <c r="AB22" i="3"/>
  <c r="AC21" i="3"/>
  <c r="AD21" i="3"/>
  <c r="X12" i="4"/>
  <c r="T13" i="4" s="1"/>
  <c r="W13" i="4" s="1"/>
  <c r="Z12" i="4"/>
  <c r="Y12" i="4"/>
  <c r="A22" i="4"/>
  <c r="B22" i="4" s="1"/>
  <c r="N24" i="4"/>
  <c r="O23" i="4"/>
  <c r="P15" i="3"/>
  <c r="R15" i="3" s="1"/>
  <c r="S14" i="3"/>
  <c r="T14" i="3" s="1"/>
  <c r="X18" i="3"/>
  <c r="AA18" i="3" s="1"/>
  <c r="Z17" i="3"/>
  <c r="L15" i="3"/>
  <c r="M15" i="3"/>
  <c r="K15" i="3"/>
  <c r="I16" i="3" s="1"/>
  <c r="K16" i="3" s="1"/>
  <c r="A20" i="3"/>
  <c r="B20" i="3" s="1"/>
  <c r="AM12" i="3"/>
  <c r="AH13" i="3"/>
  <c r="AK13" i="3" s="1"/>
  <c r="AN12" i="3"/>
  <c r="R20" i="1"/>
  <c r="T19" i="1"/>
  <c r="S20" i="1" l="1"/>
  <c r="R21" i="1" s="1"/>
  <c r="U20" i="1"/>
  <c r="AB23" i="3"/>
  <c r="AC22" i="3"/>
  <c r="AD22" i="3"/>
  <c r="S13" i="4"/>
  <c r="J16" i="4"/>
  <c r="L15" i="4"/>
  <c r="A23" i="4"/>
  <c r="B23" i="4" s="1"/>
  <c r="O24" i="4"/>
  <c r="N25" i="4"/>
  <c r="Q15" i="3"/>
  <c r="U14" i="3"/>
  <c r="Y18" i="3"/>
  <c r="L16" i="3"/>
  <c r="M16" i="3"/>
  <c r="J16" i="3"/>
  <c r="I17" i="3" s="1"/>
  <c r="J17" i="3" s="1"/>
  <c r="A21" i="3"/>
  <c r="B21" i="3" s="1"/>
  <c r="AG13" i="3"/>
  <c r="AJ13" i="3" s="1"/>
  <c r="T20" i="1"/>
  <c r="S21" i="1" l="1"/>
  <c r="U21" i="1"/>
  <c r="K16" i="4"/>
  <c r="M16" i="4"/>
  <c r="AB24" i="3"/>
  <c r="AC23" i="3"/>
  <c r="AD23" i="3"/>
  <c r="V13" i="4"/>
  <c r="U13" i="4"/>
  <c r="A24" i="4"/>
  <c r="B24" i="4" s="1"/>
  <c r="N26" i="4"/>
  <c r="O25" i="4"/>
  <c r="S15" i="3"/>
  <c r="P16" i="3"/>
  <c r="R16" i="3" s="1"/>
  <c r="T15" i="3"/>
  <c r="X19" i="3"/>
  <c r="AA19" i="3" s="1"/>
  <c r="Z18" i="3"/>
  <c r="L17" i="3"/>
  <c r="K17" i="3"/>
  <c r="I18" i="3" s="1"/>
  <c r="J18" i="3" s="1"/>
  <c r="M17" i="3"/>
  <c r="A22" i="3"/>
  <c r="B22" i="3" s="1"/>
  <c r="AI13" i="3"/>
  <c r="AL13" i="3" s="1"/>
  <c r="R22" i="1"/>
  <c r="T21" i="1"/>
  <c r="S22" i="1" l="1"/>
  <c r="U22" i="1"/>
  <c r="AB25" i="3"/>
  <c r="AC24" i="3"/>
  <c r="AD24" i="3"/>
  <c r="Y13" i="4"/>
  <c r="Z13" i="4"/>
  <c r="X13" i="4"/>
  <c r="T14" i="4" s="1"/>
  <c r="W14" i="4" s="1"/>
  <c r="L16" i="4"/>
  <c r="J17" i="4"/>
  <c r="N27" i="4"/>
  <c r="O26" i="4"/>
  <c r="A25" i="4"/>
  <c r="B25" i="4" s="1"/>
  <c r="Q16" i="3"/>
  <c r="U15" i="3"/>
  <c r="Y19" i="3"/>
  <c r="M18" i="3"/>
  <c r="L18" i="3"/>
  <c r="K18" i="3"/>
  <c r="I19" i="3" s="1"/>
  <c r="K19" i="3" s="1"/>
  <c r="A23" i="3"/>
  <c r="B23" i="3" s="1"/>
  <c r="AH14" i="3"/>
  <c r="AK14" i="3" s="1"/>
  <c r="AN13" i="3"/>
  <c r="AM13" i="3"/>
  <c r="R23" i="1"/>
  <c r="T22" i="1"/>
  <c r="S23" i="1" l="1"/>
  <c r="U23" i="1"/>
  <c r="K17" i="4"/>
  <c r="M17" i="4"/>
  <c r="AB26" i="3"/>
  <c r="AC25" i="3"/>
  <c r="AD25" i="3"/>
  <c r="S14" i="4"/>
  <c r="O27" i="4"/>
  <c r="N28" i="4"/>
  <c r="A26" i="4"/>
  <c r="B26" i="4" s="1"/>
  <c r="P17" i="3"/>
  <c r="R17" i="3" s="1"/>
  <c r="S16" i="3"/>
  <c r="T16" i="3" s="1"/>
  <c r="X20" i="3"/>
  <c r="AA20" i="3" s="1"/>
  <c r="Z19" i="3"/>
  <c r="M19" i="3"/>
  <c r="L19" i="3"/>
  <c r="J19" i="3"/>
  <c r="I20" i="3" s="1"/>
  <c r="J20" i="3" s="1"/>
  <c r="A24" i="3"/>
  <c r="B24" i="3" s="1"/>
  <c r="AG14" i="3"/>
  <c r="AJ14" i="3" s="1"/>
  <c r="R24" i="1"/>
  <c r="T23" i="1"/>
  <c r="S24" i="1" l="1"/>
  <c r="U24" i="1"/>
  <c r="AB27" i="3"/>
  <c r="AC26" i="3"/>
  <c r="AD26" i="3"/>
  <c r="V14" i="4"/>
  <c r="U14" i="4"/>
  <c r="N29" i="4"/>
  <c r="O28" i="4"/>
  <c r="J18" i="4"/>
  <c r="L17" i="4"/>
  <c r="A27" i="4"/>
  <c r="B27" i="4" s="1"/>
  <c r="Q17" i="3"/>
  <c r="U16" i="3"/>
  <c r="Y20" i="3"/>
  <c r="M20" i="3"/>
  <c r="L20" i="3"/>
  <c r="K20" i="3"/>
  <c r="I21" i="3" s="1"/>
  <c r="J21" i="3" s="1"/>
  <c r="A25" i="3"/>
  <c r="B25" i="3" s="1"/>
  <c r="AI14" i="3"/>
  <c r="AL14" i="3" s="1"/>
  <c r="R25" i="1"/>
  <c r="T24" i="1"/>
  <c r="AB7" i="1"/>
  <c r="AA7" i="1"/>
  <c r="Z7" i="1"/>
  <c r="M7" i="1"/>
  <c r="L7" i="1"/>
  <c r="S25" i="1" l="1"/>
  <c r="U25" i="1"/>
  <c r="K18" i="4"/>
  <c r="M18" i="4"/>
  <c r="AB28" i="3"/>
  <c r="AC27" i="3"/>
  <c r="AD27" i="3"/>
  <c r="X14" i="4"/>
  <c r="T15" i="4" s="1"/>
  <c r="W15" i="4" s="1"/>
  <c r="Z14" i="4"/>
  <c r="Y14" i="4"/>
  <c r="N30" i="4"/>
  <c r="O29" i="4"/>
  <c r="A28" i="4"/>
  <c r="B28" i="4" s="1"/>
  <c r="S17" i="3"/>
  <c r="T17" i="3" s="1"/>
  <c r="P18" i="3"/>
  <c r="R18" i="3" s="1"/>
  <c r="X21" i="3"/>
  <c r="AA21" i="3" s="1"/>
  <c r="Z20" i="3"/>
  <c r="K21" i="3"/>
  <c r="I22" i="3" s="1"/>
  <c r="J22" i="3" s="1"/>
  <c r="M21" i="3"/>
  <c r="L21" i="3"/>
  <c r="A26" i="3"/>
  <c r="B26" i="3" s="1"/>
  <c r="AH15" i="3"/>
  <c r="AK15" i="3" s="1"/>
  <c r="AM14" i="3"/>
  <c r="AN14" i="3"/>
  <c r="R26" i="1"/>
  <c r="T25" i="1"/>
  <c r="K8" i="1"/>
  <c r="AC7" i="1"/>
  <c r="Y8" i="1" s="1"/>
  <c r="AB8" i="1" s="1"/>
  <c r="S26" i="1" l="1"/>
  <c r="U26" i="1"/>
  <c r="AB29" i="3"/>
  <c r="AC28" i="3"/>
  <c r="AD28" i="3"/>
  <c r="S15" i="4"/>
  <c r="O30" i="4"/>
  <c r="N31" i="4"/>
  <c r="A29" i="4"/>
  <c r="B29" i="4" s="1"/>
  <c r="L18" i="4"/>
  <c r="J19" i="4"/>
  <c r="Q18" i="3"/>
  <c r="U17" i="3"/>
  <c r="Y21" i="3"/>
  <c r="M22" i="3"/>
  <c r="L22" i="3"/>
  <c r="K22" i="3"/>
  <c r="I23" i="3" s="1"/>
  <c r="J23" i="3" s="1"/>
  <c r="A27" i="3"/>
  <c r="B27" i="3" s="1"/>
  <c r="AG15" i="3"/>
  <c r="AJ15" i="3" s="1"/>
  <c r="R27" i="1"/>
  <c r="T26" i="1"/>
  <c r="L8" i="1"/>
  <c r="O8" i="1"/>
  <c r="N8" i="1"/>
  <c r="M8" i="1"/>
  <c r="X8" i="1"/>
  <c r="Z8" i="1" s="1"/>
  <c r="AE8" i="1" s="1"/>
  <c r="S27" i="1" l="1"/>
  <c r="U27" i="1"/>
  <c r="K19" i="4"/>
  <c r="M19" i="4"/>
  <c r="AB30" i="3"/>
  <c r="AC29" i="3"/>
  <c r="AD29" i="3"/>
  <c r="V15" i="4"/>
  <c r="U15" i="4"/>
  <c r="N32" i="4"/>
  <c r="O31" i="4"/>
  <c r="A30" i="4"/>
  <c r="B30" i="4" s="1"/>
  <c r="S18" i="3"/>
  <c r="T18" i="3" s="1"/>
  <c r="P19" i="3"/>
  <c r="R19" i="3" s="1"/>
  <c r="X22" i="3"/>
  <c r="AA22" i="3" s="1"/>
  <c r="Z21" i="3"/>
  <c r="L23" i="3"/>
  <c r="M23" i="3"/>
  <c r="K23" i="3"/>
  <c r="I24" i="3" s="1"/>
  <c r="J24" i="3" s="1"/>
  <c r="AI15" i="3"/>
  <c r="AL15" i="3" s="1"/>
  <c r="A28" i="3"/>
  <c r="B28" i="3" s="1"/>
  <c r="R28" i="1"/>
  <c r="T27" i="1"/>
  <c r="K9" i="1"/>
  <c r="O9" i="1" s="1"/>
  <c r="AA8" i="1"/>
  <c r="AD8" i="1"/>
  <c r="AC8" i="1"/>
  <c r="S28" i="1" l="1"/>
  <c r="U28" i="1"/>
  <c r="N9" i="1"/>
  <c r="L9" i="1"/>
  <c r="AB31" i="3"/>
  <c r="AC30" i="3"/>
  <c r="AD30" i="3"/>
  <c r="Z15" i="4"/>
  <c r="Y15" i="4"/>
  <c r="X15" i="4"/>
  <c r="T16" i="4" s="1"/>
  <c r="W16" i="4" s="1"/>
  <c r="S16" i="4"/>
  <c r="N33" i="4"/>
  <c r="O32" i="4"/>
  <c r="A31" i="4"/>
  <c r="B31" i="4" s="1"/>
  <c r="L19" i="4"/>
  <c r="J20" i="4"/>
  <c r="Q19" i="3"/>
  <c r="U18" i="3"/>
  <c r="Y22" i="3"/>
  <c r="M24" i="3"/>
  <c r="L24" i="3"/>
  <c r="K24" i="3"/>
  <c r="I25" i="3" s="1"/>
  <c r="K25" i="3" s="1"/>
  <c r="AH16" i="3"/>
  <c r="AK16" i="3" s="1"/>
  <c r="AM15" i="3"/>
  <c r="AN15" i="3"/>
  <c r="A29" i="3"/>
  <c r="B29" i="3" s="1"/>
  <c r="T28" i="1"/>
  <c r="R29" i="1"/>
  <c r="M9" i="1"/>
  <c r="K10" i="1" s="1"/>
  <c r="O10" i="1" s="1"/>
  <c r="Y9" i="1"/>
  <c r="AB9" i="1" s="1"/>
  <c r="X9" i="1"/>
  <c r="S29" i="1" l="1"/>
  <c r="U29" i="1"/>
  <c r="K20" i="4"/>
  <c r="M20" i="4"/>
  <c r="AB32" i="3"/>
  <c r="AC31" i="3"/>
  <c r="AD31" i="3"/>
  <c r="V16" i="4"/>
  <c r="U16" i="4"/>
  <c r="A32" i="4"/>
  <c r="B32" i="4" s="1"/>
  <c r="O33" i="4"/>
  <c r="P20" i="3"/>
  <c r="R20" i="3" s="1"/>
  <c r="S19" i="3"/>
  <c r="T19" i="3" s="1"/>
  <c r="Z22" i="3"/>
  <c r="X23" i="3"/>
  <c r="AA23" i="3" s="1"/>
  <c r="M25" i="3"/>
  <c r="J25" i="3"/>
  <c r="I26" i="3" s="1"/>
  <c r="J26" i="3" s="1"/>
  <c r="L25" i="3"/>
  <c r="AG16" i="3"/>
  <c r="AJ16" i="3" s="1"/>
  <c r="A30" i="3"/>
  <c r="B30" i="3" s="1"/>
  <c r="R30" i="1"/>
  <c r="T29" i="1"/>
  <c r="N10" i="1"/>
  <c r="L10" i="1"/>
  <c r="M10" i="1"/>
  <c r="Z9" i="1"/>
  <c r="AE9" i="1" s="1"/>
  <c r="AA9" i="1"/>
  <c r="S30" i="1" l="1"/>
  <c r="U30" i="1"/>
  <c r="AB33" i="3"/>
  <c r="AC32" i="3"/>
  <c r="AD32" i="3"/>
  <c r="Y16" i="4"/>
  <c r="Z16" i="4"/>
  <c r="X16" i="4"/>
  <c r="T17" i="4" s="1"/>
  <c r="W17" i="4" s="1"/>
  <c r="J21" i="4"/>
  <c r="L20" i="4"/>
  <c r="A33" i="4"/>
  <c r="B33" i="4" s="1"/>
  <c r="Q20" i="3"/>
  <c r="U19" i="3"/>
  <c r="Y23" i="3"/>
  <c r="L26" i="3"/>
  <c r="M26" i="3"/>
  <c r="K26" i="3"/>
  <c r="I27" i="3" s="1"/>
  <c r="J27" i="3" s="1"/>
  <c r="AI16" i="3"/>
  <c r="AL16" i="3" s="1"/>
  <c r="A31" i="3"/>
  <c r="B31" i="3" s="1"/>
  <c r="R31" i="1"/>
  <c r="T30" i="1"/>
  <c r="K11" i="1"/>
  <c r="O11" i="1" s="1"/>
  <c r="AC9" i="1"/>
  <c r="Y10" i="1" s="1"/>
  <c r="AB10" i="1" s="1"/>
  <c r="AD9" i="1"/>
  <c r="S31" i="1" l="1"/>
  <c r="U31" i="1"/>
  <c r="N11" i="1"/>
  <c r="M11" i="1"/>
  <c r="K21" i="4"/>
  <c r="M21" i="4"/>
  <c r="AC33" i="3"/>
  <c r="AD33" i="3"/>
  <c r="S17" i="4"/>
  <c r="A34" i="4"/>
  <c r="B34" i="4" s="1"/>
  <c r="P21" i="3"/>
  <c r="R21" i="3" s="1"/>
  <c r="S20" i="3"/>
  <c r="T20" i="3" s="1"/>
  <c r="Z23" i="3"/>
  <c r="X24" i="3"/>
  <c r="AA24" i="3" s="1"/>
  <c r="M27" i="3"/>
  <c r="L27" i="3"/>
  <c r="K27" i="3"/>
  <c r="I28" i="3" s="1"/>
  <c r="J28" i="3" s="1"/>
  <c r="A32" i="3"/>
  <c r="B32" i="3" s="1"/>
  <c r="AH17" i="3"/>
  <c r="AK17" i="3" s="1"/>
  <c r="AN16" i="3"/>
  <c r="AM16" i="3"/>
  <c r="R32" i="1"/>
  <c r="T31" i="1"/>
  <c r="X10" i="1"/>
  <c r="AA10" i="1" s="1"/>
  <c r="L11" i="1"/>
  <c r="K12" i="1" s="1"/>
  <c r="O12" i="1" s="1"/>
  <c r="S32" i="1" l="1"/>
  <c r="U32" i="1"/>
  <c r="U17" i="4"/>
  <c r="V17" i="4"/>
  <c r="A35" i="4"/>
  <c r="B35" i="4" s="1"/>
  <c r="J22" i="4"/>
  <c r="L21" i="4"/>
  <c r="Q21" i="3"/>
  <c r="U20" i="3"/>
  <c r="Y24" i="3"/>
  <c r="L28" i="3"/>
  <c r="M28" i="3"/>
  <c r="K28" i="3"/>
  <c r="I29" i="3" s="1"/>
  <c r="J29" i="3" s="1"/>
  <c r="AG17" i="3"/>
  <c r="AJ17" i="3" s="1"/>
  <c r="A33" i="3"/>
  <c r="B33" i="3" s="1"/>
  <c r="R33" i="1"/>
  <c r="U33" i="1" s="1"/>
  <c r="T32" i="1"/>
  <c r="Z10" i="1"/>
  <c r="AC10" i="1" s="1"/>
  <c r="Y11" i="1" s="1"/>
  <c r="AB11" i="1" s="1"/>
  <c r="N12" i="1"/>
  <c r="M12" i="1"/>
  <c r="L12" i="1"/>
  <c r="K13" i="1" s="1"/>
  <c r="O13" i="1" s="1"/>
  <c r="K22" i="4" l="1"/>
  <c r="M22" i="4"/>
  <c r="AE10" i="1"/>
  <c r="AD10" i="1"/>
  <c r="Y17" i="4"/>
  <c r="Z17" i="4"/>
  <c r="X17" i="4"/>
  <c r="T18" i="4" s="1"/>
  <c r="W18" i="4" s="1"/>
  <c r="A36" i="4"/>
  <c r="B36" i="4" s="1"/>
  <c r="P22" i="3"/>
  <c r="R22" i="3" s="1"/>
  <c r="S21" i="3"/>
  <c r="T21" i="3" s="1"/>
  <c r="X25" i="3"/>
  <c r="AA25" i="3" s="1"/>
  <c r="Z24" i="3"/>
  <c r="L29" i="3"/>
  <c r="M29" i="3"/>
  <c r="K29" i="3"/>
  <c r="I30" i="3" s="1"/>
  <c r="J30" i="3" s="1"/>
  <c r="AI17" i="3"/>
  <c r="AL17" i="3" s="1"/>
  <c r="A34" i="3"/>
  <c r="B34" i="3" s="1"/>
  <c r="S33" i="1"/>
  <c r="T33" i="1" s="1"/>
  <c r="X11" i="1"/>
  <c r="AA11" i="1" s="1"/>
  <c r="N13" i="1"/>
  <c r="M13" i="1"/>
  <c r="L13" i="1"/>
  <c r="K14" i="1" s="1"/>
  <c r="O14" i="1" s="1"/>
  <c r="S18" i="4" l="1"/>
  <c r="A37" i="4"/>
  <c r="B37" i="4" s="1"/>
  <c r="L22" i="4"/>
  <c r="J23" i="4"/>
  <c r="Q22" i="3"/>
  <c r="U21" i="3"/>
  <c r="Y25" i="3"/>
  <c r="L30" i="3"/>
  <c r="M30" i="3"/>
  <c r="K30" i="3"/>
  <c r="I31" i="3" s="1"/>
  <c r="AH18" i="3"/>
  <c r="AK18" i="3" s="1"/>
  <c r="AN17" i="3"/>
  <c r="AM17" i="3"/>
  <c r="AG18" i="3"/>
  <c r="AJ18" i="3" s="1"/>
  <c r="A35" i="3"/>
  <c r="B35" i="3" s="1"/>
  <c r="Z11" i="1"/>
  <c r="AC11" i="1" s="1"/>
  <c r="Y12" i="1" s="1"/>
  <c r="AB12" i="1" s="1"/>
  <c r="N14" i="1"/>
  <c r="L14" i="1"/>
  <c r="M14" i="1"/>
  <c r="AD11" i="1"/>
  <c r="K23" i="4" l="1"/>
  <c r="M23" i="4"/>
  <c r="AE11" i="1"/>
  <c r="V18" i="4"/>
  <c r="U18" i="4"/>
  <c r="A38" i="4"/>
  <c r="B38" i="4" s="1"/>
  <c r="S22" i="3"/>
  <c r="T22" i="3" s="1"/>
  <c r="P23" i="3"/>
  <c r="R23" i="3" s="1"/>
  <c r="X26" i="3"/>
  <c r="AA26" i="3" s="1"/>
  <c r="Z25" i="3"/>
  <c r="K31" i="3"/>
  <c r="M31" i="3"/>
  <c r="J31" i="3"/>
  <c r="L31" i="3"/>
  <c r="A36" i="3"/>
  <c r="B36" i="3" s="1"/>
  <c r="AI18" i="3"/>
  <c r="AL18" i="3" s="1"/>
  <c r="X12" i="1"/>
  <c r="Z12" i="1" s="1"/>
  <c r="AC12" i="1" s="1"/>
  <c r="Y13" i="1" s="1"/>
  <c r="AB13" i="1" s="1"/>
  <c r="K15" i="1"/>
  <c r="O15" i="1" s="1"/>
  <c r="X18" i="4" l="1"/>
  <c r="T19" i="4" s="1"/>
  <c r="W19" i="4" s="1"/>
  <c r="Y18" i="4"/>
  <c r="Z18" i="4"/>
  <c r="A39" i="4"/>
  <c r="B39" i="4" s="1"/>
  <c r="J24" i="4"/>
  <c r="L23" i="4"/>
  <c r="Q23" i="3"/>
  <c r="U22" i="3"/>
  <c r="Y26" i="3"/>
  <c r="I32" i="3"/>
  <c r="A37" i="3"/>
  <c r="B37" i="3" s="1"/>
  <c r="AN18" i="3"/>
  <c r="AM18" i="3"/>
  <c r="AH19" i="3"/>
  <c r="AK19" i="3" s="1"/>
  <c r="AA12" i="1"/>
  <c r="X13" i="1" s="1"/>
  <c r="Z13" i="1" s="1"/>
  <c r="AE12" i="1"/>
  <c r="N15" i="1"/>
  <c r="M15" i="1"/>
  <c r="L15" i="1"/>
  <c r="K24" i="4" l="1"/>
  <c r="M24" i="4"/>
  <c r="S19" i="4"/>
  <c r="A40" i="4"/>
  <c r="B40" i="4" s="1"/>
  <c r="P24" i="3"/>
  <c r="R24" i="3" s="1"/>
  <c r="S23" i="3"/>
  <c r="T23" i="3" s="1"/>
  <c r="Z26" i="3"/>
  <c r="X27" i="3"/>
  <c r="AA27" i="3" s="1"/>
  <c r="K32" i="3"/>
  <c r="M32" i="3"/>
  <c r="L32" i="3"/>
  <c r="J32" i="3"/>
  <c r="AG19" i="3"/>
  <c r="AJ19" i="3" s="1"/>
  <c r="A38" i="3"/>
  <c r="B38" i="3" s="1"/>
  <c r="AA13" i="1"/>
  <c r="AC13" i="1"/>
  <c r="Y14" i="1" s="1"/>
  <c r="AB14" i="1" s="1"/>
  <c r="AE13" i="1"/>
  <c r="K16" i="1"/>
  <c r="O16" i="1" s="1"/>
  <c r="AD12" i="1"/>
  <c r="M16" i="1" l="1"/>
  <c r="L16" i="1"/>
  <c r="N16" i="1"/>
  <c r="V19" i="4"/>
  <c r="U19" i="4"/>
  <c r="A41" i="4"/>
  <c r="B41" i="4" s="1"/>
  <c r="J25" i="4"/>
  <c r="L24" i="4"/>
  <c r="Q24" i="3"/>
  <c r="U23" i="3"/>
  <c r="Y27" i="3"/>
  <c r="AI19" i="3"/>
  <c r="AL19" i="3" s="1"/>
  <c r="AH20" i="3" s="1"/>
  <c r="AK20" i="3" s="1"/>
  <c r="I33" i="3"/>
  <c r="K33" i="3" s="1"/>
  <c r="A39" i="3"/>
  <c r="B39" i="3" s="1"/>
  <c r="X14" i="1"/>
  <c r="K17" i="1"/>
  <c r="O17" i="1" s="1"/>
  <c r="AM19" i="3" l="1"/>
  <c r="K25" i="4"/>
  <c r="M25" i="4"/>
  <c r="Z19" i="4"/>
  <c r="X19" i="4"/>
  <c r="T20" i="4" s="1"/>
  <c r="W20" i="4" s="1"/>
  <c r="Y19" i="4"/>
  <c r="A42" i="4"/>
  <c r="B42" i="4" s="1"/>
  <c r="P25" i="3"/>
  <c r="R25" i="3" s="1"/>
  <c r="S24" i="3"/>
  <c r="T24" i="3" s="1"/>
  <c r="AN19" i="3"/>
  <c r="Z27" i="3"/>
  <c r="X28" i="3"/>
  <c r="AA28" i="3" s="1"/>
  <c r="J33" i="3"/>
  <c r="I34" i="3" s="1"/>
  <c r="J34" i="3" s="1"/>
  <c r="L33" i="3"/>
  <c r="M33" i="3"/>
  <c r="AG20" i="3"/>
  <c r="AJ20" i="3" s="1"/>
  <c r="A40" i="3"/>
  <c r="B40" i="3" s="1"/>
  <c r="AA14" i="1"/>
  <c r="Z14" i="1"/>
  <c r="N17" i="1"/>
  <c r="M17" i="1"/>
  <c r="L17" i="1"/>
  <c r="K18" i="1" s="1"/>
  <c r="O18" i="1" s="1"/>
  <c r="S20" i="4" l="1"/>
  <c r="L25" i="4"/>
  <c r="J26" i="4"/>
  <c r="A43" i="4"/>
  <c r="B43" i="4" s="1"/>
  <c r="Q25" i="3"/>
  <c r="U24" i="3"/>
  <c r="Y28" i="3"/>
  <c r="K34" i="3"/>
  <c r="I35" i="3" s="1"/>
  <c r="K35" i="3" s="1"/>
  <c r="M34" i="3"/>
  <c r="L34" i="3"/>
  <c r="A41" i="3"/>
  <c r="B41" i="3" s="1"/>
  <c r="AI20" i="3"/>
  <c r="AL20" i="3" s="1"/>
  <c r="AC14" i="1"/>
  <c r="Y15" i="1" s="1"/>
  <c r="AB15" i="1" s="1"/>
  <c r="AE14" i="1"/>
  <c r="X15" i="1"/>
  <c r="N18" i="1"/>
  <c r="M18" i="1"/>
  <c r="L18" i="1"/>
  <c r="AD13" i="1"/>
  <c r="K26" i="4" l="1"/>
  <c r="M26" i="4"/>
  <c r="U20" i="4"/>
  <c r="V20" i="4"/>
  <c r="A44" i="4"/>
  <c r="B44" i="4" s="1"/>
  <c r="S25" i="3"/>
  <c r="T25" i="3" s="1"/>
  <c r="P26" i="3"/>
  <c r="R26" i="3" s="1"/>
  <c r="Z28" i="3"/>
  <c r="X29" i="3"/>
  <c r="AA29" i="3" s="1"/>
  <c r="M35" i="3"/>
  <c r="L35" i="3"/>
  <c r="J35" i="3"/>
  <c r="I36" i="3" s="1"/>
  <c r="L36" i="3" s="1"/>
  <c r="AH21" i="3"/>
  <c r="AK21" i="3" s="1"/>
  <c r="AN20" i="3"/>
  <c r="AM20" i="3"/>
  <c r="A42" i="3"/>
  <c r="B42" i="3" s="1"/>
  <c r="AA15" i="1"/>
  <c r="Z15" i="1"/>
  <c r="K19" i="1"/>
  <c r="O19" i="1" s="1"/>
  <c r="D5" i="1"/>
  <c r="C5" i="1"/>
  <c r="B5" i="1"/>
  <c r="Z20" i="4" l="1"/>
  <c r="Y20" i="4"/>
  <c r="X20" i="4"/>
  <c r="T21" i="4" s="1"/>
  <c r="W21" i="4" s="1"/>
  <c r="A45" i="4"/>
  <c r="B45" i="4" s="1"/>
  <c r="J27" i="4"/>
  <c r="L26" i="4"/>
  <c r="Q26" i="3"/>
  <c r="U25" i="3"/>
  <c r="Y29" i="3"/>
  <c r="J36" i="3"/>
  <c r="M36" i="3"/>
  <c r="K36" i="3"/>
  <c r="I37" i="3" s="1"/>
  <c r="AG21" i="3"/>
  <c r="AJ21" i="3" s="1"/>
  <c r="A43" i="3"/>
  <c r="B43" i="3" s="1"/>
  <c r="AC15" i="1"/>
  <c r="Y16" i="1" s="1"/>
  <c r="AB16" i="1" s="1"/>
  <c r="AE15" i="1"/>
  <c r="N19" i="1"/>
  <c r="M19" i="1"/>
  <c r="L19" i="1"/>
  <c r="A6" i="1"/>
  <c r="A7" i="1" s="1"/>
  <c r="K27" i="4" l="1"/>
  <c r="M27" i="4"/>
  <c r="X16" i="1"/>
  <c r="S21" i="4"/>
  <c r="S26" i="3"/>
  <c r="T26" i="3" s="1"/>
  <c r="P27" i="3"/>
  <c r="R27" i="3" s="1"/>
  <c r="X30" i="3"/>
  <c r="AA30" i="3" s="1"/>
  <c r="Z29" i="3"/>
  <c r="K37" i="3"/>
  <c r="M37" i="3"/>
  <c r="J37" i="3"/>
  <c r="I38" i="3" s="1"/>
  <c r="J38" i="3" s="1"/>
  <c r="L37" i="3"/>
  <c r="A44" i="3"/>
  <c r="B44" i="3" s="1"/>
  <c r="AI21" i="3"/>
  <c r="AL21" i="3" s="1"/>
  <c r="Z16" i="1"/>
  <c r="AA16" i="1"/>
  <c r="A8" i="1"/>
  <c r="D7" i="1"/>
  <c r="C7" i="1"/>
  <c r="B7" i="1"/>
  <c r="D6" i="1"/>
  <c r="C6" i="1"/>
  <c r="B6" i="1"/>
  <c r="K20" i="1"/>
  <c r="O20" i="1" s="1"/>
  <c r="AD14" i="1"/>
  <c r="U21" i="4" l="1"/>
  <c r="V21" i="4"/>
  <c r="J28" i="4"/>
  <c r="L27" i="4"/>
  <c r="Q27" i="3"/>
  <c r="U26" i="3"/>
  <c r="M38" i="3"/>
  <c r="Y30" i="3"/>
  <c r="K38" i="3"/>
  <c r="I39" i="3" s="1"/>
  <c r="L38" i="3"/>
  <c r="A45" i="3"/>
  <c r="B45" i="3" s="1"/>
  <c r="AN21" i="3"/>
  <c r="AM21" i="3"/>
  <c r="AH22" i="3"/>
  <c r="AK22" i="3" s="1"/>
  <c r="AC16" i="1"/>
  <c r="Y17" i="1" s="1"/>
  <c r="AB17" i="1" s="1"/>
  <c r="AE16" i="1"/>
  <c r="A9" i="1"/>
  <c r="C8" i="1"/>
  <c r="D8" i="1"/>
  <c r="B8" i="1"/>
  <c r="N20" i="1"/>
  <c r="L20" i="1"/>
  <c r="M20" i="1"/>
  <c r="K28" i="4" l="1"/>
  <c r="M28" i="4"/>
  <c r="Z21" i="4"/>
  <c r="Y21" i="4"/>
  <c r="X21" i="4"/>
  <c r="T22" i="4" s="1"/>
  <c r="W22" i="4" s="1"/>
  <c r="S27" i="3"/>
  <c r="T27" i="3" s="1"/>
  <c r="P28" i="3"/>
  <c r="R28" i="3" s="1"/>
  <c r="Z30" i="3"/>
  <c r="X31" i="3"/>
  <c r="AA31" i="3" s="1"/>
  <c r="K39" i="3"/>
  <c r="M39" i="3"/>
  <c r="J39" i="3"/>
  <c r="I40" i="3" s="1"/>
  <c r="K40" i="3" s="1"/>
  <c r="L39" i="3"/>
  <c r="AG22" i="3"/>
  <c r="AJ22" i="3" s="1"/>
  <c r="X17" i="1"/>
  <c r="A10" i="1"/>
  <c r="B9" i="1"/>
  <c r="D9" i="1"/>
  <c r="C9" i="1"/>
  <c r="K21" i="1"/>
  <c r="O21" i="1" s="1"/>
  <c r="AD15" i="1"/>
  <c r="S22" i="4" l="1"/>
  <c r="L28" i="4"/>
  <c r="J29" i="4"/>
  <c r="Q28" i="3"/>
  <c r="U27" i="3"/>
  <c r="Y31" i="3"/>
  <c r="J40" i="3"/>
  <c r="I41" i="3" s="1"/>
  <c r="L41" i="3" s="1"/>
  <c r="M40" i="3"/>
  <c r="L40" i="3"/>
  <c r="AI22" i="3"/>
  <c r="AL22" i="3" s="1"/>
  <c r="AH23" i="3" s="1"/>
  <c r="AK23" i="3" s="1"/>
  <c r="AA17" i="1"/>
  <c r="Z17" i="1"/>
  <c r="A11" i="1"/>
  <c r="D10" i="1"/>
  <c r="C10" i="1"/>
  <c r="B10" i="1"/>
  <c r="N21" i="1"/>
  <c r="M21" i="1"/>
  <c r="L21" i="1"/>
  <c r="K22" i="1" s="1"/>
  <c r="O22" i="1" s="1"/>
  <c r="K29" i="4" l="1"/>
  <c r="M29" i="4"/>
  <c r="V22" i="4"/>
  <c r="U22" i="4"/>
  <c r="K41" i="3"/>
  <c r="M41" i="3"/>
  <c r="J41" i="3"/>
  <c r="P29" i="3"/>
  <c r="R29" i="3" s="1"/>
  <c r="S28" i="3"/>
  <c r="T28" i="3" s="1"/>
  <c r="AM22" i="3"/>
  <c r="AN22" i="3"/>
  <c r="Z31" i="3"/>
  <c r="X32" i="3"/>
  <c r="AA32" i="3" s="1"/>
  <c r="I42" i="3"/>
  <c r="AG23" i="3"/>
  <c r="AJ23" i="3" s="1"/>
  <c r="AC17" i="1"/>
  <c r="Y18" i="1" s="1"/>
  <c r="AB18" i="1" s="1"/>
  <c r="AE17" i="1"/>
  <c r="A12" i="1"/>
  <c r="D11" i="1"/>
  <c r="C11" i="1"/>
  <c r="B11" i="1"/>
  <c r="N22" i="1"/>
  <c r="M22" i="1"/>
  <c r="L22" i="1"/>
  <c r="K23" i="1" s="1"/>
  <c r="O23" i="1" s="1"/>
  <c r="X18" i="1" l="1"/>
  <c r="Y22" i="4"/>
  <c r="X22" i="4"/>
  <c r="T23" i="4" s="1"/>
  <c r="W23" i="4" s="1"/>
  <c r="Z22" i="4"/>
  <c r="J30" i="4"/>
  <c r="L29" i="4"/>
  <c r="Q29" i="3"/>
  <c r="U28" i="3"/>
  <c r="Y32" i="3"/>
  <c r="L42" i="3"/>
  <c r="J42" i="3"/>
  <c r="M42" i="3"/>
  <c r="K42" i="3"/>
  <c r="AI23" i="3"/>
  <c r="AL23" i="3" s="1"/>
  <c r="AA18" i="1"/>
  <c r="Z18" i="1"/>
  <c r="A13" i="1"/>
  <c r="B12" i="1"/>
  <c r="D12" i="1"/>
  <c r="C12" i="1"/>
  <c r="N23" i="1"/>
  <c r="M23" i="1"/>
  <c r="L23" i="1"/>
  <c r="AD16" i="1"/>
  <c r="K30" i="4" l="1"/>
  <c r="M30" i="4"/>
  <c r="S23" i="4"/>
  <c r="V23" i="4"/>
  <c r="U23" i="4"/>
  <c r="S29" i="3"/>
  <c r="T29" i="3" s="1"/>
  <c r="P30" i="3"/>
  <c r="R30" i="3" s="1"/>
  <c r="X33" i="3"/>
  <c r="AA33" i="3" s="1"/>
  <c r="Z32" i="3"/>
  <c r="I43" i="3"/>
  <c r="J43" i="3" s="1"/>
  <c r="M43" i="3"/>
  <c r="L43" i="3"/>
  <c r="K43" i="3"/>
  <c r="AH24" i="3"/>
  <c r="AK24" i="3" s="1"/>
  <c r="AM23" i="3"/>
  <c r="AN23" i="3"/>
  <c r="AG24" i="3"/>
  <c r="AJ24" i="3" s="1"/>
  <c r="AC18" i="1"/>
  <c r="Y19" i="1" s="1"/>
  <c r="AB19" i="1" s="1"/>
  <c r="AE18" i="1"/>
  <c r="X19" i="1"/>
  <c r="A14" i="1"/>
  <c r="B13" i="1"/>
  <c r="C13" i="1"/>
  <c r="D13" i="1"/>
  <c r="K24" i="1"/>
  <c r="O24" i="1" s="1"/>
  <c r="N24" i="1"/>
  <c r="M24" i="1"/>
  <c r="L24" i="1"/>
  <c r="K25" i="1" l="1"/>
  <c r="O25" i="1" s="1"/>
  <c r="Z23" i="4"/>
  <c r="Y23" i="4"/>
  <c r="X23" i="4"/>
  <c r="T24" i="4" s="1"/>
  <c r="W24" i="4" s="1"/>
  <c r="J31" i="4"/>
  <c r="L30" i="4"/>
  <c r="Q30" i="3"/>
  <c r="U29" i="3"/>
  <c r="Y33" i="3"/>
  <c r="Z33" i="3" s="1"/>
  <c r="I44" i="3"/>
  <c r="AI24" i="3"/>
  <c r="AL24" i="3" s="1"/>
  <c r="Z19" i="1"/>
  <c r="AA19" i="1"/>
  <c r="A15" i="1"/>
  <c r="D14" i="1"/>
  <c r="C14" i="1"/>
  <c r="B14" i="1"/>
  <c r="N25" i="1"/>
  <c r="L25" i="1"/>
  <c r="M25" i="1"/>
  <c r="K31" i="4" l="1"/>
  <c r="M31" i="4"/>
  <c r="S24" i="4"/>
  <c r="S30" i="3"/>
  <c r="T30" i="3" s="1"/>
  <c r="P31" i="3"/>
  <c r="R31" i="3" s="1"/>
  <c r="K44" i="3"/>
  <c r="M44" i="3"/>
  <c r="J44" i="3"/>
  <c r="I45" i="3" s="1"/>
  <c r="L44" i="3"/>
  <c r="AN24" i="3"/>
  <c r="AM24" i="3"/>
  <c r="AH25" i="3"/>
  <c r="AK25" i="3" s="1"/>
  <c r="AC19" i="1"/>
  <c r="Y20" i="1" s="1"/>
  <c r="AB20" i="1" s="1"/>
  <c r="AE19" i="1"/>
  <c r="A16" i="1"/>
  <c r="D15" i="1"/>
  <c r="C15" i="1"/>
  <c r="B15" i="1"/>
  <c r="K26" i="1"/>
  <c r="O26" i="1" s="1"/>
  <c r="AD17" i="1"/>
  <c r="V24" i="4" l="1"/>
  <c r="U24" i="4"/>
  <c r="L31" i="4"/>
  <c r="J32" i="4"/>
  <c r="Q31" i="3"/>
  <c r="U30" i="3"/>
  <c r="J45" i="3"/>
  <c r="L45" i="3"/>
  <c r="K45" i="3"/>
  <c r="M45" i="3"/>
  <c r="AG25" i="3"/>
  <c r="AJ25" i="3" s="1"/>
  <c r="X20" i="1"/>
  <c r="A17" i="1"/>
  <c r="C16" i="1"/>
  <c r="B16" i="1"/>
  <c r="D16" i="1"/>
  <c r="N26" i="1"/>
  <c r="M26" i="1"/>
  <c r="L26" i="1"/>
  <c r="K32" i="4" l="1"/>
  <c r="M32" i="4"/>
  <c r="Y24" i="4"/>
  <c r="X24" i="4"/>
  <c r="T25" i="4" s="1"/>
  <c r="W25" i="4" s="1"/>
  <c r="Z24" i="4"/>
  <c r="S25" i="4"/>
  <c r="P32" i="3"/>
  <c r="R32" i="3" s="1"/>
  <c r="S31" i="3"/>
  <c r="T31" i="3" s="1"/>
  <c r="I46" i="3"/>
  <c r="AI25" i="3"/>
  <c r="AL25" i="3" s="1"/>
  <c r="AA20" i="1"/>
  <c r="Z20" i="1"/>
  <c r="A18" i="1"/>
  <c r="C17" i="1"/>
  <c r="D17" i="1"/>
  <c r="B17" i="1"/>
  <c r="K27" i="1"/>
  <c r="U25" i="4" l="1"/>
  <c r="V25" i="4"/>
  <c r="J33" i="4"/>
  <c r="L32" i="4"/>
  <c r="Q32" i="3"/>
  <c r="U31" i="3"/>
  <c r="K46" i="3"/>
  <c r="L46" i="3"/>
  <c r="J46" i="3"/>
  <c r="M46" i="3"/>
  <c r="AH26" i="3"/>
  <c r="AK26" i="3" s="1"/>
  <c r="AN25" i="3"/>
  <c r="AM25" i="3"/>
  <c r="AG26" i="3"/>
  <c r="AJ26" i="3" s="1"/>
  <c r="N27" i="1"/>
  <c r="O27" i="1"/>
  <c r="AC20" i="1"/>
  <c r="Y21" i="1" s="1"/>
  <c r="AB21" i="1" s="1"/>
  <c r="AE20" i="1"/>
  <c r="A19" i="1"/>
  <c r="D18" i="1"/>
  <c r="C18" i="1"/>
  <c r="B18" i="1"/>
  <c r="L27" i="1"/>
  <c r="M27" i="1"/>
  <c r="AD18" i="1"/>
  <c r="X21" i="1" l="1"/>
  <c r="Z21" i="1" s="1"/>
  <c r="K33" i="4"/>
  <c r="M33" i="4"/>
  <c r="Y25" i="4"/>
  <c r="X25" i="4"/>
  <c r="T26" i="4" s="1"/>
  <c r="W26" i="4" s="1"/>
  <c r="Z25" i="4"/>
  <c r="S26" i="4"/>
  <c r="L33" i="4"/>
  <c r="I47" i="3"/>
  <c r="P33" i="3"/>
  <c r="R33" i="3" s="1"/>
  <c r="S32" i="3"/>
  <c r="T32" i="3" s="1"/>
  <c r="K47" i="3"/>
  <c r="M47" i="3"/>
  <c r="J47" i="3"/>
  <c r="I48" i="3" s="1"/>
  <c r="L47" i="3"/>
  <c r="AI26" i="3"/>
  <c r="AL26" i="3" s="1"/>
  <c r="K28" i="1"/>
  <c r="N28" i="1" s="1"/>
  <c r="AA21" i="1"/>
  <c r="A20" i="1"/>
  <c r="D19" i="1"/>
  <c r="C19" i="1"/>
  <c r="B19" i="1"/>
  <c r="M28" i="1" l="1"/>
  <c r="V26" i="4"/>
  <c r="U26" i="4"/>
  <c r="Q33" i="3"/>
  <c r="U32" i="3"/>
  <c r="J48" i="3"/>
  <c r="M48" i="3"/>
  <c r="L48" i="3"/>
  <c r="K48" i="3"/>
  <c r="I49" i="3" s="1"/>
  <c r="AH27" i="3"/>
  <c r="AK27" i="3" s="1"/>
  <c r="AN26" i="3"/>
  <c r="AM26" i="3"/>
  <c r="L28" i="1"/>
  <c r="K29" i="1" s="1"/>
  <c r="O29" i="1" s="1"/>
  <c r="O28" i="1"/>
  <c r="AC21" i="1"/>
  <c r="Y22" i="1" s="1"/>
  <c r="AB22" i="1" s="1"/>
  <c r="AE21" i="1"/>
  <c r="A21" i="1"/>
  <c r="D20" i="1"/>
  <c r="C20" i="1"/>
  <c r="B20" i="1"/>
  <c r="L29" i="1" l="1"/>
  <c r="M29" i="1"/>
  <c r="N29" i="1"/>
  <c r="Y26" i="4"/>
  <c r="X26" i="4"/>
  <c r="T27" i="4" s="1"/>
  <c r="W27" i="4" s="1"/>
  <c r="Z26" i="4"/>
  <c r="S27" i="4"/>
  <c r="P34" i="3"/>
  <c r="R34" i="3" s="1"/>
  <c r="S33" i="3"/>
  <c r="T33" i="3" s="1"/>
  <c r="L49" i="3"/>
  <c r="K49" i="3"/>
  <c r="M49" i="3"/>
  <c r="J49" i="3"/>
  <c r="AG27" i="3"/>
  <c r="AJ27" i="3" s="1"/>
  <c r="X22" i="1"/>
  <c r="A22" i="1"/>
  <c r="C21" i="1"/>
  <c r="D21" i="1"/>
  <c r="B21" i="1"/>
  <c r="K30" i="1"/>
  <c r="AD19" i="1"/>
  <c r="U27" i="4" l="1"/>
  <c r="V27" i="4"/>
  <c r="Q34" i="3"/>
  <c r="U33" i="3"/>
  <c r="I50" i="3"/>
  <c r="K50" i="3" s="1"/>
  <c r="L50" i="3"/>
  <c r="M50" i="3"/>
  <c r="J50" i="3"/>
  <c r="I51" i="3" s="1"/>
  <c r="AI27" i="3"/>
  <c r="AL27" i="3" s="1"/>
  <c r="M30" i="1"/>
  <c r="O30" i="1"/>
  <c r="AA22" i="1"/>
  <c r="Z22" i="1"/>
  <c r="N30" i="1"/>
  <c r="A23" i="1"/>
  <c r="D22" i="1"/>
  <c r="C22" i="1"/>
  <c r="B22" i="1"/>
  <c r="L30" i="1"/>
  <c r="K31" i="1" l="1"/>
  <c r="O31" i="1" s="1"/>
  <c r="X27" i="4"/>
  <c r="T28" i="4" s="1"/>
  <c r="W28" i="4" s="1"/>
  <c r="Z27" i="4"/>
  <c r="Y27" i="4"/>
  <c r="S28" i="4"/>
  <c r="P35" i="3"/>
  <c r="R35" i="3" s="1"/>
  <c r="S34" i="3"/>
  <c r="T34" i="3" s="1"/>
  <c r="K51" i="3"/>
  <c r="L51" i="3"/>
  <c r="J51" i="3"/>
  <c r="M51" i="3"/>
  <c r="AH28" i="3"/>
  <c r="AK28" i="3" s="1"/>
  <c r="AN27" i="3"/>
  <c r="AM27" i="3"/>
  <c r="AC22" i="1"/>
  <c r="Y23" i="1" s="1"/>
  <c r="AB23" i="1" s="1"/>
  <c r="AE22" i="1"/>
  <c r="A24" i="1"/>
  <c r="D23" i="1"/>
  <c r="C23" i="1"/>
  <c r="B23" i="1"/>
  <c r="N31" i="1"/>
  <c r="M31" i="1"/>
  <c r="L31" i="1"/>
  <c r="K32" i="1" s="1"/>
  <c r="X23" i="1" l="1"/>
  <c r="V28" i="4"/>
  <c r="U28" i="4"/>
  <c r="Q35" i="3"/>
  <c r="U34" i="3"/>
  <c r="I52" i="3"/>
  <c r="AG28" i="3"/>
  <c r="AJ28" i="3" s="1"/>
  <c r="N32" i="1"/>
  <c r="O32" i="1"/>
  <c r="M32" i="1"/>
  <c r="L32" i="1"/>
  <c r="K33" i="1" s="1"/>
  <c r="O33" i="1" s="1"/>
  <c r="Z23" i="1"/>
  <c r="AA23" i="1"/>
  <c r="A25" i="1"/>
  <c r="B24" i="1"/>
  <c r="D24" i="1"/>
  <c r="C24" i="1"/>
  <c r="AD20" i="1"/>
  <c r="Y28" i="4" l="1"/>
  <c r="Z28" i="4"/>
  <c r="X28" i="4"/>
  <c r="P36" i="3"/>
  <c r="R36" i="3" s="1"/>
  <c r="S35" i="3"/>
  <c r="T35" i="3" s="1"/>
  <c r="K52" i="3"/>
  <c r="L52" i="3"/>
  <c r="J52" i="3"/>
  <c r="I53" i="3" s="1"/>
  <c r="M52" i="3"/>
  <c r="AI28" i="3"/>
  <c r="AL28" i="3" s="1"/>
  <c r="AC23" i="1"/>
  <c r="Y24" i="1" s="1"/>
  <c r="AB24" i="1" s="1"/>
  <c r="AE23" i="1"/>
  <c r="A26" i="1"/>
  <c r="B25" i="1"/>
  <c r="D25" i="1"/>
  <c r="C25" i="1"/>
  <c r="N33" i="1"/>
  <c r="M33" i="1"/>
  <c r="L33" i="1"/>
  <c r="T29" i="4" l="1"/>
  <c r="W29" i="4" s="1"/>
  <c r="S29" i="4"/>
  <c r="Q36" i="3"/>
  <c r="U35" i="3"/>
  <c r="J53" i="3"/>
  <c r="L53" i="3"/>
  <c r="K53" i="3"/>
  <c r="M53" i="3"/>
  <c r="AH29" i="3"/>
  <c r="AK29" i="3" s="1"/>
  <c r="AN28" i="3"/>
  <c r="AM28" i="3"/>
  <c r="X24" i="1"/>
  <c r="A27" i="1"/>
  <c r="D26" i="1"/>
  <c r="C26" i="1"/>
  <c r="B26" i="1"/>
  <c r="K34" i="1"/>
  <c r="M34" i="1" s="1"/>
  <c r="L34" i="1" l="1"/>
  <c r="V29" i="4"/>
  <c r="U29" i="4"/>
  <c r="S36" i="3"/>
  <c r="T36" i="3" s="1"/>
  <c r="P37" i="3"/>
  <c r="R37" i="3" s="1"/>
  <c r="I54" i="3"/>
  <c r="K54" i="3" s="1"/>
  <c r="AG29" i="3"/>
  <c r="AJ29" i="3" s="1"/>
  <c r="N34" i="1"/>
  <c r="O34" i="1"/>
  <c r="AA24" i="1"/>
  <c r="Z24" i="1"/>
  <c r="A28" i="1"/>
  <c r="D27" i="1"/>
  <c r="C27" i="1"/>
  <c r="B27" i="1"/>
  <c r="K35" i="1"/>
  <c r="M35" i="1" s="1"/>
  <c r="AD21" i="1"/>
  <c r="Y29" i="4" l="1"/>
  <c r="X29" i="4"/>
  <c r="T30" i="4" s="1"/>
  <c r="W30" i="4" s="1"/>
  <c r="Z29" i="4"/>
  <c r="Q37" i="3"/>
  <c r="U36" i="3"/>
  <c r="J54" i="3"/>
  <c r="I55" i="3" s="1"/>
  <c r="L54" i="3"/>
  <c r="M54" i="3"/>
  <c r="AI29" i="3"/>
  <c r="AL29" i="3" s="1"/>
  <c r="N35" i="1"/>
  <c r="O35" i="1"/>
  <c r="L35" i="1"/>
  <c r="K36" i="1" s="1"/>
  <c r="M36" i="1" s="1"/>
  <c r="AC24" i="1"/>
  <c r="Y25" i="1" s="1"/>
  <c r="AB25" i="1" s="1"/>
  <c r="AE24" i="1"/>
  <c r="X25" i="1"/>
  <c r="A29" i="1"/>
  <c r="B28" i="1"/>
  <c r="D28" i="1"/>
  <c r="C28" i="1"/>
  <c r="S30" i="4" l="1"/>
  <c r="V30" i="4" s="1"/>
  <c r="P38" i="3"/>
  <c r="R38" i="3" s="1"/>
  <c r="S37" i="3"/>
  <c r="T37" i="3" s="1"/>
  <c r="J55" i="3"/>
  <c r="M55" i="3"/>
  <c r="L55" i="3"/>
  <c r="K55" i="3"/>
  <c r="AH30" i="3"/>
  <c r="AK30" i="3" s="1"/>
  <c r="AN29" i="3"/>
  <c r="AM29" i="3"/>
  <c r="AG30" i="3"/>
  <c r="AJ30" i="3" s="1"/>
  <c r="N36" i="1"/>
  <c r="O36" i="1"/>
  <c r="AA25" i="1"/>
  <c r="Z25" i="1"/>
  <c r="L36" i="1"/>
  <c r="K37" i="1" s="1"/>
  <c r="O37" i="1" s="1"/>
  <c r="A30" i="1"/>
  <c r="B29" i="1"/>
  <c r="D29" i="1"/>
  <c r="C29" i="1"/>
  <c r="AD22" i="1"/>
  <c r="U30" i="4" l="1"/>
  <c r="Z30" i="4" s="1"/>
  <c r="Q38" i="3"/>
  <c r="U37" i="3"/>
  <c r="I56" i="3"/>
  <c r="M56" i="3" s="1"/>
  <c r="AI30" i="3"/>
  <c r="AL30" i="3" s="1"/>
  <c r="AE25" i="1"/>
  <c r="AD25" i="1"/>
  <c r="AC25" i="1"/>
  <c r="Y26" i="1" s="1"/>
  <c r="AB26" i="1" s="1"/>
  <c r="A31" i="1"/>
  <c r="D30" i="1"/>
  <c r="C30" i="1"/>
  <c r="B30" i="1"/>
  <c r="N37" i="1"/>
  <c r="M37" i="1"/>
  <c r="L37" i="1"/>
  <c r="Y30" i="4" l="1"/>
  <c r="X30" i="4"/>
  <c r="T31" i="4" s="1"/>
  <c r="W31" i="4" s="1"/>
  <c r="S31" i="4"/>
  <c r="V31" i="4"/>
  <c r="U31" i="4"/>
  <c r="P39" i="3"/>
  <c r="R39" i="3" s="1"/>
  <c r="S38" i="3"/>
  <c r="T38" i="3" s="1"/>
  <c r="K56" i="3"/>
  <c r="L56" i="3"/>
  <c r="J56" i="3"/>
  <c r="AN30" i="3"/>
  <c r="AM30" i="3"/>
  <c r="AH31" i="3"/>
  <c r="AK31" i="3" s="1"/>
  <c r="X26" i="1"/>
  <c r="Z26" i="1"/>
  <c r="AA26" i="1"/>
  <c r="A32" i="1"/>
  <c r="D31" i="1"/>
  <c r="C31" i="1"/>
  <c r="B31" i="1"/>
  <c r="K38" i="1"/>
  <c r="L38" i="1" s="1"/>
  <c r="Z31" i="4" l="1"/>
  <c r="Y31" i="4"/>
  <c r="X31" i="4"/>
  <c r="I57" i="3"/>
  <c r="K57" i="3" s="1"/>
  <c r="Q39" i="3"/>
  <c r="U38" i="3"/>
  <c r="AG31" i="3"/>
  <c r="AJ31" i="3" s="1"/>
  <c r="N38" i="1"/>
  <c r="O38" i="1"/>
  <c r="AE26" i="1"/>
  <c r="AD26" i="1"/>
  <c r="AC26" i="1"/>
  <c r="Y27" i="1" s="1"/>
  <c r="AB27" i="1" s="1"/>
  <c r="M38" i="1"/>
  <c r="K39" i="1" s="1"/>
  <c r="A33" i="1"/>
  <c r="C32" i="1"/>
  <c r="B32" i="1"/>
  <c r="D32" i="1"/>
  <c r="AD23" i="1"/>
  <c r="O39" i="1" l="1"/>
  <c r="N39" i="1"/>
  <c r="T32" i="4"/>
  <c r="W32" i="4" s="1"/>
  <c r="S32" i="4"/>
  <c r="L57" i="3"/>
  <c r="M57" i="3"/>
  <c r="J57" i="3"/>
  <c r="I58" i="3" s="1"/>
  <c r="L58" i="3" s="1"/>
  <c r="P40" i="3"/>
  <c r="R40" i="3" s="1"/>
  <c r="S39" i="3"/>
  <c r="T39" i="3" s="1"/>
  <c r="AI31" i="3"/>
  <c r="AL31" i="3" s="1"/>
  <c r="M39" i="1"/>
  <c r="L39" i="1"/>
  <c r="X27" i="1"/>
  <c r="A34" i="1"/>
  <c r="D33" i="1"/>
  <c r="B33" i="1"/>
  <c r="C33" i="1"/>
  <c r="V32" i="4" l="1"/>
  <c r="U32" i="4"/>
  <c r="Q40" i="3"/>
  <c r="U39" i="3"/>
  <c r="J58" i="3"/>
  <c r="M58" i="3"/>
  <c r="K58" i="3"/>
  <c r="I59" i="3" s="1"/>
  <c r="K59" i="3" s="1"/>
  <c r="AH32" i="3"/>
  <c r="AK32" i="3" s="1"/>
  <c r="AM31" i="3"/>
  <c r="AN31" i="3"/>
  <c r="AG32" i="3"/>
  <c r="AJ32" i="3" s="1"/>
  <c r="K40" i="1"/>
  <c r="Z27" i="1"/>
  <c r="AA27" i="1"/>
  <c r="A35" i="1"/>
  <c r="D34" i="1"/>
  <c r="C34" i="1"/>
  <c r="B34" i="1"/>
  <c r="Z32" i="4" l="1"/>
  <c r="Y32" i="4"/>
  <c r="X32" i="4"/>
  <c r="P41" i="3"/>
  <c r="R41" i="3" s="1"/>
  <c r="S40" i="3"/>
  <c r="T40" i="3" s="1"/>
  <c r="M59" i="3"/>
  <c r="J59" i="3"/>
  <c r="I60" i="3" s="1"/>
  <c r="J60" i="3" s="1"/>
  <c r="L59" i="3"/>
  <c r="AI32" i="3"/>
  <c r="AL32" i="3" s="1"/>
  <c r="O40" i="1"/>
  <c r="N40" i="1"/>
  <c r="L40" i="1"/>
  <c r="M40" i="1"/>
  <c r="AE27" i="1"/>
  <c r="AD27" i="1"/>
  <c r="AC27" i="1"/>
  <c r="Y28" i="1" s="1"/>
  <c r="AB28" i="1" s="1"/>
  <c r="A36" i="1"/>
  <c r="D35" i="1"/>
  <c r="C35" i="1"/>
  <c r="B35" i="1"/>
  <c r="AD24" i="1"/>
  <c r="T33" i="4" l="1"/>
  <c r="W33" i="4" s="1"/>
  <c r="S33" i="4"/>
  <c r="M60" i="3"/>
  <c r="L60" i="3"/>
  <c r="K60" i="3"/>
  <c r="Q41" i="3"/>
  <c r="U40" i="3"/>
  <c r="AH33" i="3"/>
  <c r="AK33" i="3" s="1"/>
  <c r="AN32" i="3"/>
  <c r="AM32" i="3"/>
  <c r="K41" i="1"/>
  <c r="X28" i="1"/>
  <c r="A37" i="1"/>
  <c r="C36" i="1"/>
  <c r="D36" i="1"/>
  <c r="B36" i="1"/>
  <c r="V33" i="4" l="1"/>
  <c r="U33" i="4"/>
  <c r="S41" i="3"/>
  <c r="P42" i="3"/>
  <c r="R42" i="3" s="1"/>
  <c r="T41" i="3"/>
  <c r="AG33" i="3"/>
  <c r="AJ33" i="3" s="1"/>
  <c r="O41" i="1"/>
  <c r="L41" i="1"/>
  <c r="M41" i="1"/>
  <c r="N41" i="1"/>
  <c r="K42" i="1"/>
  <c r="AA28" i="1"/>
  <c r="Z28" i="1"/>
  <c r="A38" i="1"/>
  <c r="D37" i="1"/>
  <c r="C37" i="1"/>
  <c r="B37" i="1"/>
  <c r="Z33" i="4" l="1"/>
  <c r="Y33" i="4"/>
  <c r="X33" i="4"/>
  <c r="T34" i="4" s="1"/>
  <c r="W34" i="4" s="1"/>
  <c r="Q42" i="3"/>
  <c r="U41" i="3"/>
  <c r="AI33" i="3"/>
  <c r="AL33" i="3" s="1"/>
  <c r="O42" i="1"/>
  <c r="N42" i="1"/>
  <c r="L42" i="1"/>
  <c r="M42" i="1"/>
  <c r="AE28" i="1"/>
  <c r="AD28" i="1"/>
  <c r="AC28" i="1"/>
  <c r="Y29" i="1" s="1"/>
  <c r="AB29" i="1" s="1"/>
  <c r="A39" i="1"/>
  <c r="D38" i="1"/>
  <c r="C38" i="1"/>
  <c r="B38" i="1"/>
  <c r="K43" i="1" l="1"/>
  <c r="S34" i="4"/>
  <c r="V34" i="4" s="1"/>
  <c r="U34" i="4"/>
  <c r="P43" i="3"/>
  <c r="R43" i="3" s="1"/>
  <c r="S42" i="3"/>
  <c r="T42" i="3" s="1"/>
  <c r="AN33" i="3"/>
  <c r="AM33" i="3"/>
  <c r="AH34" i="3"/>
  <c r="AK34" i="3" s="1"/>
  <c r="O43" i="1"/>
  <c r="M43" i="1"/>
  <c r="L43" i="1"/>
  <c r="N43" i="1"/>
  <c r="K44" i="1"/>
  <c r="X29" i="1"/>
  <c r="AA29" i="1" s="1"/>
  <c r="M44" i="1"/>
  <c r="A40" i="1"/>
  <c r="D39" i="1"/>
  <c r="C39" i="1"/>
  <c r="B39" i="1"/>
  <c r="Z29" i="1" l="1"/>
  <c r="Z34" i="4"/>
  <c r="Y34" i="4"/>
  <c r="X34" i="4"/>
  <c r="Q43" i="3"/>
  <c r="U42" i="3"/>
  <c r="AG34" i="3"/>
  <c r="AJ34" i="3" s="1"/>
  <c r="N44" i="1"/>
  <c r="O44" i="1"/>
  <c r="L44" i="1"/>
  <c r="K45" i="1" s="1"/>
  <c r="AE29" i="1"/>
  <c r="AD29" i="1"/>
  <c r="AC29" i="1"/>
  <c r="Y30" i="1" s="1"/>
  <c r="AB30" i="1" s="1"/>
  <c r="A41" i="1"/>
  <c r="D40" i="1"/>
  <c r="C40" i="1"/>
  <c r="B40" i="1"/>
  <c r="T35" i="4" l="1"/>
  <c r="W35" i="4" s="1"/>
  <c r="S35" i="4"/>
  <c r="S43" i="3"/>
  <c r="T43" i="3" s="1"/>
  <c r="P44" i="3"/>
  <c r="R44" i="3" s="1"/>
  <c r="AI34" i="3"/>
  <c r="AL34" i="3" s="1"/>
  <c r="O45" i="1"/>
  <c r="N45" i="1"/>
  <c r="M45" i="1"/>
  <c r="L45" i="1"/>
  <c r="K46" i="1" s="1"/>
  <c r="M46" i="1" s="1"/>
  <c r="X30" i="1"/>
  <c r="Z30" i="1" s="1"/>
  <c r="A42" i="1"/>
  <c r="B41" i="1"/>
  <c r="D41" i="1"/>
  <c r="C41" i="1"/>
  <c r="AA30" i="1" l="1"/>
  <c r="V35" i="4"/>
  <c r="U35" i="4"/>
  <c r="Q44" i="3"/>
  <c r="U43" i="3"/>
  <c r="AN34" i="3"/>
  <c r="AM34" i="3"/>
  <c r="AH35" i="3"/>
  <c r="AK35" i="3" s="1"/>
  <c r="N46" i="1"/>
  <c r="O46" i="1"/>
  <c r="L46" i="1"/>
  <c r="K47" i="1" s="1"/>
  <c r="AE30" i="1"/>
  <c r="AC30" i="1"/>
  <c r="Y31" i="1" s="1"/>
  <c r="AB31" i="1" s="1"/>
  <c r="AD30" i="1"/>
  <c r="A43" i="1"/>
  <c r="D42" i="1"/>
  <c r="C42" i="1"/>
  <c r="B42" i="1"/>
  <c r="Y35" i="4" l="1"/>
  <c r="X35" i="4"/>
  <c r="Z35" i="4"/>
  <c r="P45" i="3"/>
  <c r="R45" i="3" s="1"/>
  <c r="S44" i="3"/>
  <c r="T44" i="3" s="1"/>
  <c r="AG35" i="3"/>
  <c r="AJ35" i="3" s="1"/>
  <c r="AI35" i="3"/>
  <c r="AL35" i="3" s="1"/>
  <c r="O47" i="1"/>
  <c r="N47" i="1"/>
  <c r="M47" i="1"/>
  <c r="L47" i="1"/>
  <c r="K48" i="1" s="1"/>
  <c r="X31" i="1"/>
  <c r="A44" i="1"/>
  <c r="D43" i="1"/>
  <c r="C43" i="1"/>
  <c r="B43" i="1"/>
  <c r="T36" i="4" l="1"/>
  <c r="W36" i="4" s="1"/>
  <c r="S36" i="4"/>
  <c r="Q45" i="3"/>
  <c r="U44" i="3"/>
  <c r="AH36" i="3"/>
  <c r="AK36" i="3" s="1"/>
  <c r="AN35" i="3"/>
  <c r="AM35" i="3"/>
  <c r="AG36" i="3"/>
  <c r="AJ36" i="3" s="1"/>
  <c r="N48" i="1"/>
  <c r="O48" i="1"/>
  <c r="M48" i="1"/>
  <c r="L48" i="1"/>
  <c r="Z31" i="1"/>
  <c r="AA31" i="1"/>
  <c r="A45" i="1"/>
  <c r="D44" i="1"/>
  <c r="C44" i="1"/>
  <c r="B44" i="1"/>
  <c r="K49" i="1" l="1"/>
  <c r="V36" i="4"/>
  <c r="U36" i="4"/>
  <c r="P46" i="3"/>
  <c r="R46" i="3" s="1"/>
  <c r="S45" i="3"/>
  <c r="T45" i="3" s="1"/>
  <c r="AI36" i="3"/>
  <c r="AL36" i="3" s="1"/>
  <c r="N49" i="1"/>
  <c r="O49" i="1"/>
  <c r="L49" i="1"/>
  <c r="M49" i="1"/>
  <c r="AE31" i="1"/>
  <c r="AC31" i="1"/>
  <c r="Y32" i="1" s="1"/>
  <c r="AB32" i="1" s="1"/>
  <c r="AD31" i="1"/>
  <c r="B45" i="1"/>
  <c r="D45" i="1"/>
  <c r="C45" i="1"/>
  <c r="K50" i="1" l="1"/>
  <c r="Y36" i="4"/>
  <c r="Z36" i="4"/>
  <c r="X36" i="4"/>
  <c r="Q46" i="3"/>
  <c r="U45" i="3"/>
  <c r="AM36" i="3"/>
  <c r="AH37" i="3"/>
  <c r="AK37" i="3" s="1"/>
  <c r="AN36" i="3"/>
  <c r="AG37" i="3"/>
  <c r="AJ37" i="3" s="1"/>
  <c r="X32" i="1"/>
  <c r="O50" i="1" l="1"/>
  <c r="L50" i="1"/>
  <c r="N50" i="1"/>
  <c r="M50" i="1"/>
  <c r="T37" i="4"/>
  <c r="W37" i="4" s="1"/>
  <c r="S37" i="4"/>
  <c r="S46" i="3"/>
  <c r="T46" i="3" s="1"/>
  <c r="P47" i="3"/>
  <c r="R47" i="3" s="1"/>
  <c r="AI37" i="3"/>
  <c r="AL37" i="3" s="1"/>
  <c r="AA32" i="1"/>
  <c r="Z32" i="1"/>
  <c r="K51" i="1" l="1"/>
  <c r="U37" i="4"/>
  <c r="V37" i="4"/>
  <c r="Q47" i="3"/>
  <c r="U46" i="3"/>
  <c r="AN37" i="3"/>
  <c r="AH38" i="3"/>
  <c r="AK38" i="3" s="1"/>
  <c r="AM37" i="3"/>
  <c r="AG38" i="3"/>
  <c r="AJ38" i="3" s="1"/>
  <c r="AE32" i="1"/>
  <c r="AD32" i="1"/>
  <c r="AC32" i="1"/>
  <c r="Y33" i="1" s="1"/>
  <c r="AB33" i="1" s="1"/>
  <c r="O51" i="1" l="1"/>
  <c r="N51" i="1"/>
  <c r="L51" i="1"/>
  <c r="M51" i="1"/>
  <c r="Z37" i="4"/>
  <c r="X37" i="4"/>
  <c r="T38" i="4" s="1"/>
  <c r="W38" i="4" s="1"/>
  <c r="Y37" i="4"/>
  <c r="S47" i="3"/>
  <c r="T47" i="3" s="1"/>
  <c r="P48" i="3"/>
  <c r="R48" i="3" s="1"/>
  <c r="AI38" i="3"/>
  <c r="AL38" i="3" s="1"/>
  <c r="X33" i="1"/>
  <c r="K52" i="1" l="1"/>
  <c r="O52" i="1"/>
  <c r="L52" i="1"/>
  <c r="N52" i="1"/>
  <c r="M52" i="1"/>
  <c r="S38" i="4"/>
  <c r="Q48" i="3"/>
  <c r="U47" i="3"/>
  <c r="AN38" i="3"/>
  <c r="AM38" i="3"/>
  <c r="AH39" i="3"/>
  <c r="AK39" i="3" s="1"/>
  <c r="Z33" i="1"/>
  <c r="AA33" i="1"/>
  <c r="K53" i="1" l="1"/>
  <c r="V38" i="4"/>
  <c r="U38" i="4"/>
  <c r="P49" i="3"/>
  <c r="R49" i="3" s="1"/>
  <c r="S48" i="3"/>
  <c r="T48" i="3" s="1"/>
  <c r="AG39" i="3"/>
  <c r="AJ39" i="3" s="1"/>
  <c r="AE33" i="1"/>
  <c r="AD33" i="1"/>
  <c r="AC33" i="1"/>
  <c r="Y34" i="1" s="1"/>
  <c r="AB34" i="1" s="1"/>
  <c r="O53" i="1" l="1"/>
  <c r="N53" i="1"/>
  <c r="M53" i="1"/>
  <c r="L53" i="1"/>
  <c r="Z38" i="4"/>
  <c r="Y38" i="4"/>
  <c r="X38" i="4"/>
  <c r="T39" i="4" s="1"/>
  <c r="W39" i="4" s="1"/>
  <c r="Q49" i="3"/>
  <c r="U48" i="3"/>
  <c r="AI39" i="3"/>
  <c r="AL39" i="3" s="1"/>
  <c r="X34" i="1"/>
  <c r="K54" i="1" l="1"/>
  <c r="S39" i="4"/>
  <c r="V39" i="4"/>
  <c r="U39" i="4"/>
  <c r="S49" i="3"/>
  <c r="T49" i="3" s="1"/>
  <c r="P50" i="3"/>
  <c r="R50" i="3" s="1"/>
  <c r="AN39" i="3"/>
  <c r="AM39" i="3"/>
  <c r="AH40" i="3"/>
  <c r="AK40" i="3" s="1"/>
  <c r="Z34" i="1"/>
  <c r="AA34" i="1"/>
  <c r="O54" i="1" l="1"/>
  <c r="M54" i="1"/>
  <c r="N54" i="1"/>
  <c r="L54" i="1"/>
  <c r="K55" i="1" s="1"/>
  <c r="Y39" i="4"/>
  <c r="Z39" i="4"/>
  <c r="X39" i="4"/>
  <c r="T40" i="4" s="1"/>
  <c r="W40" i="4" s="1"/>
  <c r="Q50" i="3"/>
  <c r="U49" i="3"/>
  <c r="AG40" i="3"/>
  <c r="AJ40" i="3" s="1"/>
  <c r="AE34" i="1"/>
  <c r="AC34" i="1"/>
  <c r="Y35" i="1" s="1"/>
  <c r="AB35" i="1" s="1"/>
  <c r="AD34" i="1"/>
  <c r="O55" i="1" l="1"/>
  <c r="L55" i="1"/>
  <c r="M55" i="1"/>
  <c r="N55" i="1"/>
  <c r="K56" i="1"/>
  <c r="S40" i="4"/>
  <c r="P51" i="3"/>
  <c r="R51" i="3" s="1"/>
  <c r="S50" i="3"/>
  <c r="T50" i="3" s="1"/>
  <c r="AI40" i="3"/>
  <c r="AL40" i="3" s="1"/>
  <c r="X35" i="1"/>
  <c r="O56" i="1" l="1"/>
  <c r="M56" i="1"/>
  <c r="L56" i="1"/>
  <c r="K57" i="1" s="1"/>
  <c r="N56" i="1"/>
  <c r="V40" i="4"/>
  <c r="U40" i="4"/>
  <c r="Q51" i="3"/>
  <c r="U50" i="3"/>
  <c r="AN40" i="3"/>
  <c r="AM40" i="3"/>
  <c r="AH41" i="3"/>
  <c r="AK41" i="3" s="1"/>
  <c r="AA35" i="1"/>
  <c r="Z35" i="1"/>
  <c r="O57" i="1" l="1"/>
  <c r="N57" i="1"/>
  <c r="L57" i="1"/>
  <c r="M57" i="1"/>
  <c r="Z40" i="4"/>
  <c r="Y40" i="4"/>
  <c r="X40" i="4"/>
  <c r="T41" i="4" s="1"/>
  <c r="W41" i="4" s="1"/>
  <c r="S51" i="3"/>
  <c r="T51" i="3" s="1"/>
  <c r="P52" i="3"/>
  <c r="R52" i="3" s="1"/>
  <c r="AG41" i="3"/>
  <c r="AJ41" i="3" s="1"/>
  <c r="AE35" i="1"/>
  <c r="AC35" i="1"/>
  <c r="Y36" i="1" s="1"/>
  <c r="AB36" i="1" s="1"/>
  <c r="AD35" i="1"/>
  <c r="X36" i="1"/>
  <c r="K58" i="1" l="1"/>
  <c r="S41" i="4"/>
  <c r="Q52" i="3"/>
  <c r="U51" i="3"/>
  <c r="AI41" i="3"/>
  <c r="AL41" i="3" s="1"/>
  <c r="Z36" i="1"/>
  <c r="AA36" i="1"/>
  <c r="O58" i="1" l="1"/>
  <c r="L58" i="1"/>
  <c r="M58" i="1"/>
  <c r="N58" i="1"/>
  <c r="V41" i="4"/>
  <c r="U41" i="4"/>
  <c r="P53" i="3"/>
  <c r="R53" i="3" s="1"/>
  <c r="S52" i="3"/>
  <c r="T52" i="3" s="1"/>
  <c r="AH42" i="3"/>
  <c r="AK42" i="3" s="1"/>
  <c r="AN41" i="3"/>
  <c r="AM41" i="3"/>
  <c r="AG42" i="3"/>
  <c r="AJ42" i="3" s="1"/>
  <c r="AE36" i="1"/>
  <c r="AD36" i="1"/>
  <c r="AC36" i="1"/>
  <c r="Y37" i="1" s="1"/>
  <c r="AB37" i="1" s="1"/>
  <c r="K59" i="1" l="1"/>
  <c r="Z41" i="4"/>
  <c r="Y41" i="4"/>
  <c r="X41" i="4"/>
  <c r="T42" i="4" s="1"/>
  <c r="W42" i="4" s="1"/>
  <c r="Q53" i="3"/>
  <c r="U52" i="3"/>
  <c r="AI42" i="3"/>
  <c r="AL42" i="3" s="1"/>
  <c r="X37" i="1"/>
  <c r="O59" i="1" l="1"/>
  <c r="L59" i="1"/>
  <c r="N59" i="1"/>
  <c r="M59" i="1"/>
  <c r="S42" i="4"/>
  <c r="U42" i="4"/>
  <c r="V42" i="4"/>
  <c r="S53" i="3"/>
  <c r="T53" i="3" s="1"/>
  <c r="P54" i="3"/>
  <c r="R54" i="3" s="1"/>
  <c r="AM42" i="3"/>
  <c r="AH43" i="3"/>
  <c r="AK43" i="3" s="1"/>
  <c r="AN42" i="3"/>
  <c r="AG43" i="3"/>
  <c r="AJ43" i="3" s="1"/>
  <c r="AA37" i="1"/>
  <c r="Z37" i="1"/>
  <c r="K60" i="1" l="1"/>
  <c r="Z42" i="4"/>
  <c r="Y42" i="4"/>
  <c r="X42" i="4"/>
  <c r="T43" i="4" s="1"/>
  <c r="W43" i="4" s="1"/>
  <c r="Q54" i="3"/>
  <c r="U53" i="3"/>
  <c r="AI43" i="3"/>
  <c r="AL43" i="3" s="1"/>
  <c r="AE37" i="1"/>
  <c r="AD37" i="1"/>
  <c r="AC37" i="1"/>
  <c r="Y38" i="1" s="1"/>
  <c r="AB38" i="1" s="1"/>
  <c r="O60" i="1" l="1"/>
  <c r="L60" i="1"/>
  <c r="N60" i="1"/>
  <c r="M60" i="1"/>
  <c r="S43" i="4"/>
  <c r="P55" i="3"/>
  <c r="R55" i="3" s="1"/>
  <c r="S54" i="3"/>
  <c r="T54" i="3" s="1"/>
  <c r="AN43" i="3"/>
  <c r="AM43" i="3"/>
  <c r="AH44" i="3"/>
  <c r="AK44" i="3" s="1"/>
  <c r="X38" i="1"/>
  <c r="V43" i="4" l="1"/>
  <c r="U43" i="4"/>
  <c r="Q55" i="3"/>
  <c r="U54" i="3"/>
  <c r="AG44" i="3"/>
  <c r="AJ44" i="3" s="1"/>
  <c r="AA38" i="1"/>
  <c r="Z38" i="1"/>
  <c r="Y43" i="4" l="1"/>
  <c r="X43" i="4"/>
  <c r="T44" i="4" s="1"/>
  <c r="W44" i="4" s="1"/>
  <c r="Z43" i="4"/>
  <c r="S44" i="4"/>
  <c r="S55" i="3"/>
  <c r="T55" i="3" s="1"/>
  <c r="P56" i="3"/>
  <c r="R56" i="3" s="1"/>
  <c r="AI44" i="3"/>
  <c r="AL44" i="3" s="1"/>
  <c r="AE38" i="1"/>
  <c r="AD38" i="1"/>
  <c r="AC38" i="1"/>
  <c r="Y39" i="1" s="1"/>
  <c r="AB39" i="1" s="1"/>
  <c r="V44" i="4" l="1"/>
  <c r="U44" i="4"/>
  <c r="Q56" i="3"/>
  <c r="U55" i="3"/>
  <c r="AM44" i="3"/>
  <c r="AN44" i="3"/>
  <c r="AH45" i="3"/>
  <c r="AK45" i="3" s="1"/>
  <c r="X39" i="1"/>
  <c r="Y44" i="4" l="1"/>
  <c r="Z44" i="4"/>
  <c r="X44" i="4"/>
  <c r="T45" i="4" s="1"/>
  <c r="W45" i="4" s="1"/>
  <c r="P57" i="3"/>
  <c r="R57" i="3" s="1"/>
  <c r="S56" i="3"/>
  <c r="T56" i="3" s="1"/>
  <c r="AG45" i="3"/>
  <c r="AJ45" i="3" s="1"/>
  <c r="AA39" i="1"/>
  <c r="Z39" i="1"/>
  <c r="S45" i="4" l="1"/>
  <c r="Q57" i="3"/>
  <c r="U56" i="3"/>
  <c r="AI45" i="3"/>
  <c r="AL45" i="3" s="1"/>
  <c r="AE39" i="1"/>
  <c r="AC39" i="1"/>
  <c r="Y40" i="1" s="1"/>
  <c r="AB40" i="1" s="1"/>
  <c r="AD39" i="1"/>
  <c r="X40" i="1"/>
  <c r="U45" i="4" l="1"/>
  <c r="V45" i="4"/>
  <c r="S57" i="3"/>
  <c r="T57" i="3" s="1"/>
  <c r="P58" i="3"/>
  <c r="R58" i="3" s="1"/>
  <c r="AN45" i="3"/>
  <c r="AM45" i="3"/>
  <c r="AH46" i="3"/>
  <c r="AK46" i="3" s="1"/>
  <c r="Z40" i="1"/>
  <c r="AA40" i="1"/>
  <c r="Z45" i="4" l="1"/>
  <c r="Y45" i="4"/>
  <c r="X45" i="4"/>
  <c r="T46" i="4" s="1"/>
  <c r="W46" i="4" s="1"/>
  <c r="Q58" i="3"/>
  <c r="U57" i="3"/>
  <c r="AG46" i="3"/>
  <c r="AJ46" i="3" s="1"/>
  <c r="AE40" i="1"/>
  <c r="AD40" i="1"/>
  <c r="AC40" i="1"/>
  <c r="Y41" i="1" s="1"/>
  <c r="AB41" i="1" s="1"/>
  <c r="S46" i="4" l="1"/>
  <c r="S58" i="3"/>
  <c r="T58" i="3" s="1"/>
  <c r="P59" i="3"/>
  <c r="R59" i="3" s="1"/>
  <c r="AI46" i="3"/>
  <c r="AL46" i="3" s="1"/>
  <c r="X41" i="1"/>
  <c r="V46" i="4" l="1"/>
  <c r="U46" i="4"/>
  <c r="Q59" i="3"/>
  <c r="U58" i="3"/>
  <c r="AN46" i="3"/>
  <c r="AM46" i="3"/>
  <c r="AH47" i="3"/>
  <c r="AK47" i="3" s="1"/>
  <c r="AA41" i="1"/>
  <c r="Z41" i="1"/>
  <c r="Z46" i="4" l="1"/>
  <c r="X46" i="4"/>
  <c r="T47" i="4" s="1"/>
  <c r="W47" i="4" s="1"/>
  <c r="Y46" i="4"/>
  <c r="P60" i="3"/>
  <c r="R60" i="3" s="1"/>
  <c r="S59" i="3"/>
  <c r="T59" i="3" s="1"/>
  <c r="AG47" i="3"/>
  <c r="AJ47" i="3" s="1"/>
  <c r="AE41" i="1"/>
  <c r="AD41" i="1"/>
  <c r="AC41" i="1"/>
  <c r="Y42" i="1" s="1"/>
  <c r="AB42" i="1" s="1"/>
  <c r="X42" i="1" l="1"/>
  <c r="S47" i="4"/>
  <c r="U47" i="4"/>
  <c r="V47" i="4"/>
  <c r="Q60" i="3"/>
  <c r="S60" i="3" s="1"/>
  <c r="T60" i="3" s="1"/>
  <c r="U60" i="3" s="1"/>
  <c r="U59" i="3"/>
  <c r="AI47" i="3"/>
  <c r="AL47" i="3" s="1"/>
  <c r="AA42" i="1"/>
  <c r="Z42" i="1"/>
  <c r="Y47" i="4" l="1"/>
  <c r="Z47" i="4"/>
  <c r="X47" i="4"/>
  <c r="T48" i="4" s="1"/>
  <c r="W48" i="4" s="1"/>
  <c r="AN47" i="3"/>
  <c r="AM47" i="3"/>
  <c r="AH48" i="3"/>
  <c r="AK48" i="3" s="1"/>
  <c r="AE42" i="1"/>
  <c r="AD42" i="1"/>
  <c r="AC42" i="1"/>
  <c r="Y43" i="1" s="1"/>
  <c r="AB43" i="1" s="1"/>
  <c r="X43" i="1"/>
  <c r="S48" i="4" l="1"/>
  <c r="AG48" i="3"/>
  <c r="AJ48" i="3" s="1"/>
  <c r="AA43" i="1"/>
  <c r="Z43" i="1"/>
  <c r="V48" i="4" l="1"/>
  <c r="U48" i="4"/>
  <c r="AI48" i="3"/>
  <c r="AL48" i="3" s="1"/>
  <c r="AE43" i="1"/>
  <c r="AC43" i="1"/>
  <c r="Y44" i="1" s="1"/>
  <c r="AB44" i="1" s="1"/>
  <c r="AD43" i="1"/>
  <c r="Z48" i="4" l="1"/>
  <c r="Y48" i="4"/>
  <c r="X48" i="4"/>
  <c r="T49" i="4" s="1"/>
  <c r="W49" i="4" s="1"/>
  <c r="AM48" i="3"/>
  <c r="AH49" i="3"/>
  <c r="AK49" i="3" s="1"/>
  <c r="AN48" i="3"/>
  <c r="AG49" i="3"/>
  <c r="AJ49" i="3" s="1"/>
  <c r="X44" i="1"/>
  <c r="Z44" i="1" s="1"/>
  <c r="AA44" i="1" l="1"/>
  <c r="S49" i="4"/>
  <c r="V49" i="4" s="1"/>
  <c r="AI49" i="3"/>
  <c r="AL49" i="3" s="1"/>
  <c r="AE44" i="1"/>
  <c r="AD44" i="1"/>
  <c r="AC44" i="1"/>
  <c r="Y45" i="1" s="1"/>
  <c r="AB45" i="1" s="1"/>
  <c r="X45" i="1" l="1"/>
  <c r="U49" i="4"/>
  <c r="Z49" i="4"/>
  <c r="X49" i="4"/>
  <c r="T50" i="4" s="1"/>
  <c r="W50" i="4" s="1"/>
  <c r="Y49" i="4"/>
  <c r="S50" i="4"/>
  <c r="AH50" i="3"/>
  <c r="AK50" i="3" s="1"/>
  <c r="AN49" i="3"/>
  <c r="AM49" i="3"/>
  <c r="AG50" i="3"/>
  <c r="AJ50" i="3" s="1"/>
  <c r="Z45" i="1"/>
  <c r="AA45" i="1"/>
  <c r="V50" i="4" l="1"/>
  <c r="U50" i="4"/>
  <c r="AI50" i="3"/>
  <c r="AL50" i="3" s="1"/>
  <c r="AE45" i="1"/>
  <c r="AD45" i="1"/>
  <c r="AC45" i="1"/>
  <c r="Y46" i="1" s="1"/>
  <c r="AB46" i="1" s="1"/>
  <c r="Y50" i="4" l="1"/>
  <c r="X50" i="4"/>
  <c r="T51" i="4" s="1"/>
  <c r="W51" i="4" s="1"/>
  <c r="Z50" i="4"/>
  <c r="S51" i="4"/>
  <c r="AN50" i="3"/>
  <c r="AM50" i="3"/>
  <c r="AH51" i="3"/>
  <c r="AK51" i="3" s="1"/>
  <c r="X46" i="1"/>
  <c r="V51" i="4" l="1"/>
  <c r="U51" i="4"/>
  <c r="AG51" i="3"/>
  <c r="AJ51" i="3" s="1"/>
  <c r="Z46" i="1"/>
  <c r="AA46" i="1"/>
  <c r="Y51" i="4" l="1"/>
  <c r="X51" i="4"/>
  <c r="T52" i="4" s="1"/>
  <c r="W52" i="4" s="1"/>
  <c r="Z51" i="4"/>
  <c r="S52" i="4"/>
  <c r="AI51" i="3"/>
  <c r="AL51" i="3" s="1"/>
  <c r="AE46" i="1"/>
  <c r="AD46" i="1"/>
  <c r="AC46" i="1"/>
  <c r="Y47" i="1" s="1"/>
  <c r="AB47" i="1" s="1"/>
  <c r="V52" i="4" l="1"/>
  <c r="U52" i="4"/>
  <c r="AN51" i="3"/>
  <c r="AH52" i="3"/>
  <c r="AK52" i="3" s="1"/>
  <c r="AM51" i="3"/>
  <c r="AG52" i="3"/>
  <c r="AJ52" i="3" s="1"/>
  <c r="X47" i="1"/>
  <c r="Z52" i="4" l="1"/>
  <c r="X52" i="4"/>
  <c r="T53" i="4" s="1"/>
  <c r="W53" i="4" s="1"/>
  <c r="Y52" i="4"/>
  <c r="AI52" i="3"/>
  <c r="AL52" i="3" s="1"/>
  <c r="AA47" i="1"/>
  <c r="Z47" i="1"/>
  <c r="S53" i="4" l="1"/>
  <c r="V53" i="4" s="1"/>
  <c r="U53" i="4"/>
  <c r="AM52" i="3"/>
  <c r="AN52" i="3"/>
  <c r="AH53" i="3"/>
  <c r="AK53" i="3" s="1"/>
  <c r="AE47" i="1"/>
  <c r="AD47" i="1"/>
  <c r="AC47" i="1"/>
  <c r="Y48" i="1" s="1"/>
  <c r="AB48" i="1" s="1"/>
  <c r="X48" i="1" l="1"/>
  <c r="Z53" i="4"/>
  <c r="Y53" i="4"/>
  <c r="X53" i="4"/>
  <c r="T54" i="4" s="1"/>
  <c r="W54" i="4" s="1"/>
  <c r="AG53" i="3"/>
  <c r="AJ53" i="3" s="1"/>
  <c r="AA48" i="1"/>
  <c r="Z48" i="1"/>
  <c r="S54" i="4" l="1"/>
  <c r="V54" i="4"/>
  <c r="U54" i="4"/>
  <c r="AI53" i="3"/>
  <c r="AL53" i="3" s="1"/>
  <c r="AE48" i="1"/>
  <c r="AD48" i="1"/>
  <c r="AC48" i="1"/>
  <c r="Y49" i="1" s="1"/>
  <c r="AB49" i="1" s="1"/>
  <c r="Z54" i="4" l="1"/>
  <c r="Y54" i="4"/>
  <c r="X54" i="4"/>
  <c r="T55" i="4" s="1"/>
  <c r="W55" i="4" s="1"/>
  <c r="AN53" i="3"/>
  <c r="AH54" i="3"/>
  <c r="AK54" i="3" s="1"/>
  <c r="AM53" i="3"/>
  <c r="X49" i="1"/>
  <c r="AA49" i="1"/>
  <c r="Z49" i="1"/>
  <c r="S55" i="4" l="1"/>
  <c r="U55" i="4"/>
  <c r="V55" i="4"/>
  <c r="AG54" i="3"/>
  <c r="AJ54" i="3" s="1"/>
  <c r="AE49" i="1"/>
  <c r="AD49" i="1"/>
  <c r="AC49" i="1"/>
  <c r="Y50" i="1" s="1"/>
  <c r="AB50" i="1" s="1"/>
  <c r="Z55" i="4" l="1"/>
  <c r="Y55" i="4"/>
  <c r="X55" i="4"/>
  <c r="T56" i="4" s="1"/>
  <c r="W56" i="4" s="1"/>
  <c r="AI54" i="3"/>
  <c r="AL54" i="3" s="1"/>
  <c r="X50" i="1"/>
  <c r="AA50" i="1" s="1"/>
  <c r="Z50" i="1"/>
  <c r="S56" i="4" l="1"/>
  <c r="AM54" i="3"/>
  <c r="AN54" i="3"/>
  <c r="AH55" i="3"/>
  <c r="AK55" i="3" s="1"/>
  <c r="AE50" i="1"/>
  <c r="AD50" i="1"/>
  <c r="AC50" i="1"/>
  <c r="Y51" i="1" s="1"/>
  <c r="AB51" i="1" s="1"/>
  <c r="X51" i="1" l="1"/>
  <c r="V56" i="4"/>
  <c r="U56" i="4"/>
  <c r="AG55" i="3"/>
  <c r="AJ55" i="3" s="1"/>
  <c r="Z51" i="1"/>
  <c r="AA51" i="1"/>
  <c r="Z56" i="4" l="1"/>
  <c r="Y56" i="4"/>
  <c r="X56" i="4"/>
  <c r="T57" i="4" s="1"/>
  <c r="W57" i="4" s="1"/>
  <c r="AI55" i="3"/>
  <c r="AL55" i="3" s="1"/>
  <c r="AE51" i="1"/>
  <c r="AC51" i="1"/>
  <c r="Y52" i="1" s="1"/>
  <c r="AB52" i="1" s="1"/>
  <c r="AD51" i="1"/>
  <c r="S57" i="4" l="1"/>
  <c r="AH56" i="3"/>
  <c r="AK56" i="3" s="1"/>
  <c r="AN55" i="3"/>
  <c r="AM55" i="3"/>
  <c r="AG56" i="3"/>
  <c r="AJ56" i="3" s="1"/>
  <c r="X52" i="1"/>
  <c r="U57" i="4" l="1"/>
  <c r="V57" i="4"/>
  <c r="AI56" i="3"/>
  <c r="AL56" i="3" s="1"/>
  <c r="Z52" i="1"/>
  <c r="AA52" i="1"/>
  <c r="Z57" i="4" l="1"/>
  <c r="X57" i="4"/>
  <c r="T58" i="4" s="1"/>
  <c r="W58" i="4" s="1"/>
  <c r="Y57" i="4"/>
  <c r="AM56" i="3"/>
  <c r="AN56" i="3"/>
  <c r="AH57" i="3"/>
  <c r="AK57" i="3" s="1"/>
  <c r="AE52" i="1"/>
  <c r="AC52" i="1"/>
  <c r="Y53" i="1" s="1"/>
  <c r="AB53" i="1" s="1"/>
  <c r="AD52" i="1"/>
  <c r="S58" i="4" l="1"/>
  <c r="AG57" i="3"/>
  <c r="AJ57" i="3" s="1"/>
  <c r="X53" i="1"/>
  <c r="U58" i="4" l="1"/>
  <c r="V58" i="4"/>
  <c r="AI57" i="3"/>
  <c r="AL57" i="3" s="1"/>
  <c r="AA53" i="1"/>
  <c r="Z53" i="1"/>
  <c r="X58" i="4" l="1"/>
  <c r="T59" i="4" s="1"/>
  <c r="W59" i="4" s="1"/>
  <c r="Z58" i="4"/>
  <c r="Y58" i="4"/>
  <c r="AN57" i="3"/>
  <c r="AM57" i="3"/>
  <c r="AH58" i="3"/>
  <c r="AK58" i="3" s="1"/>
  <c r="AG58" i="3"/>
  <c r="AJ58" i="3" s="1"/>
  <c r="AE53" i="1"/>
  <c r="AC53" i="1"/>
  <c r="Y54" i="1" s="1"/>
  <c r="AB54" i="1" s="1"/>
  <c r="AD53" i="1"/>
  <c r="X54" i="1"/>
  <c r="S59" i="4" l="1"/>
  <c r="AI58" i="3"/>
  <c r="AL58" i="3" s="1"/>
  <c r="Z54" i="1"/>
  <c r="AA54" i="1"/>
  <c r="U59" i="4" l="1"/>
  <c r="V59" i="4"/>
  <c r="AN58" i="3"/>
  <c r="AM58" i="3"/>
  <c r="AH59" i="3"/>
  <c r="AK59" i="3" s="1"/>
  <c r="AE54" i="1"/>
  <c r="AC54" i="1"/>
  <c r="Y55" i="1" s="1"/>
  <c r="AB55" i="1" s="1"/>
  <c r="AD54" i="1"/>
  <c r="X59" i="4" l="1"/>
  <c r="T60" i="4" s="1"/>
  <c r="W60" i="4" s="1"/>
  <c r="Z59" i="4"/>
  <c r="Y59" i="4"/>
  <c r="AG59" i="3"/>
  <c r="AJ59" i="3" s="1"/>
  <c r="X55" i="1"/>
  <c r="S60" i="4" l="1"/>
  <c r="AI59" i="3"/>
  <c r="AL59" i="3" s="1"/>
  <c r="AA55" i="1"/>
  <c r="Z55" i="1"/>
  <c r="V60" i="4" l="1"/>
  <c r="U60" i="4"/>
  <c r="AN59" i="3"/>
  <c r="AM59" i="3"/>
  <c r="AH60" i="3"/>
  <c r="AK60" i="3" s="1"/>
  <c r="AE55" i="1"/>
  <c r="AC55" i="1"/>
  <c r="Y56" i="1" s="1"/>
  <c r="AB56" i="1" s="1"/>
  <c r="AD55" i="1"/>
  <c r="X56" i="1" l="1"/>
  <c r="Z60" i="4"/>
  <c r="X60" i="4"/>
  <c r="T61" i="4" s="1"/>
  <c r="W61" i="4" s="1"/>
  <c r="Y60" i="4"/>
  <c r="S61" i="4"/>
  <c r="AG60" i="3"/>
  <c r="AJ60" i="3" s="1"/>
  <c r="Z56" i="1"/>
  <c r="AA56" i="1"/>
  <c r="U61" i="4" l="1"/>
  <c r="V61" i="4"/>
  <c r="AI60" i="3"/>
  <c r="AL60" i="3" s="1"/>
  <c r="AE56" i="1"/>
  <c r="AD56" i="1"/>
  <c r="AC56" i="1"/>
  <c r="Y57" i="1" s="1"/>
  <c r="AB57" i="1" s="1"/>
  <c r="Y61" i="4" l="1"/>
  <c r="X61" i="4"/>
  <c r="Z61" i="4"/>
  <c r="AN60" i="3"/>
  <c r="AM60" i="3"/>
  <c r="AH61" i="3"/>
  <c r="AK61" i="3" s="1"/>
  <c r="X57" i="1"/>
  <c r="AG61" i="3" l="1"/>
  <c r="AJ61" i="3" s="1"/>
  <c r="Z57" i="1"/>
  <c r="AA57" i="1"/>
  <c r="AI61" i="3" l="1"/>
  <c r="AL61" i="3" s="1"/>
  <c r="AE57" i="1"/>
  <c r="AC57" i="1"/>
  <c r="Y58" i="1" s="1"/>
  <c r="AB58" i="1" s="1"/>
  <c r="AD57" i="1"/>
  <c r="AN61" i="3" l="1"/>
  <c r="AM61" i="3"/>
  <c r="X58" i="1"/>
  <c r="Z58" i="1" l="1"/>
  <c r="AA58" i="1"/>
  <c r="AE58" i="1" l="1"/>
  <c r="AC58" i="1"/>
  <c r="Y59" i="1" s="1"/>
  <c r="AB59" i="1" s="1"/>
  <c r="AD58" i="1"/>
  <c r="X59" i="1" l="1"/>
  <c r="AA59" i="1" l="1"/>
  <c r="Z59" i="1"/>
  <c r="AE59" i="1" l="1"/>
  <c r="AC59" i="1"/>
  <c r="Y60" i="1" s="1"/>
  <c r="AB60" i="1" s="1"/>
  <c r="AD59" i="1"/>
  <c r="X60" i="1"/>
  <c r="AA60" i="1" l="1"/>
  <c r="Z60" i="1"/>
  <c r="AE60" i="1" l="1"/>
  <c r="AD60" i="1"/>
  <c r="AC60" i="1"/>
  <c r="Y61" i="1" s="1"/>
  <c r="AB61" i="1" s="1"/>
  <c r="X61" i="1"/>
  <c r="AA61" i="1" l="1"/>
  <c r="Z61" i="1"/>
  <c r="AE61" i="1" l="1"/>
  <c r="AD61" i="1"/>
  <c r="AC61" i="1"/>
</calcChain>
</file>

<file path=xl/sharedStrings.xml><?xml version="1.0" encoding="utf-8"?>
<sst xmlns="http://schemas.openxmlformats.org/spreadsheetml/2006/main" count="97" uniqueCount="36">
  <si>
    <t>y=x^3</t>
  </si>
  <si>
    <t>x</t>
  </si>
  <si>
    <t>f(x) = x^3</t>
  </si>
  <si>
    <t>f'(x)=3x^2</t>
  </si>
  <si>
    <t>f''(x)=6x</t>
  </si>
  <si>
    <t>Newton-Raphson</t>
  </si>
  <si>
    <t>Iteration</t>
  </si>
  <si>
    <t>f(x)</t>
  </si>
  <si>
    <t>f'(x)</t>
  </si>
  <si>
    <t>xi</t>
  </si>
  <si>
    <t>εa</t>
  </si>
  <si>
    <t>Bisection</t>
  </si>
  <si>
    <t>xL</t>
  </si>
  <si>
    <t>xU</t>
  </si>
  <si>
    <t>xR</t>
  </si>
  <si>
    <t>f(xL)</t>
  </si>
  <si>
    <t>f(xU)</t>
  </si>
  <si>
    <t>f(xR)</t>
  </si>
  <si>
    <t>Ea</t>
  </si>
  <si>
    <t>Fixed Point Iteration (FPI)</t>
  </si>
  <si>
    <t>xi+1</t>
  </si>
  <si>
    <t>εa (%)</t>
  </si>
  <si>
    <t>Diverges</t>
  </si>
  <si>
    <t>Converges</t>
  </si>
  <si>
    <t>Secant Method</t>
  </si>
  <si>
    <t>xi-1</t>
  </si>
  <si>
    <t>f(xi-1)</t>
  </si>
  <si>
    <t>f(xi)</t>
  </si>
  <si>
    <t>Example from Class</t>
  </si>
  <si>
    <t>ABS[g'(x)]</t>
  </si>
  <si>
    <t>g(x)</t>
  </si>
  <si>
    <t>g(x) = exp(-x)</t>
  </si>
  <si>
    <t>g'(x) = -exp(-x)</t>
  </si>
  <si>
    <t>g(x) = +exp(-x) * 1/x</t>
  </si>
  <si>
    <t>g'(x) = [-exp(-x)*1/x - exp(-x)*1/x^2]</t>
  </si>
  <si>
    <t>g'(x)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</si>
</sst>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000000000000000000000000000000000000000000000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ill="1"/>
    <xf numFmtId="2" fontId="0" fillId="0" borderId="0" xfId="0" applyNumberFormat="1"/>
    <xf numFmtId="0" fontId="1" fillId="4" borderId="0" xfId="0" applyFont="1" applyFill="1"/>
    <xf numFmtId="0" fontId="0" fillId="5" borderId="0" xfId="0" applyFill="1"/>
    <xf numFmtId="0" fontId="3" fillId="3" borderId="0" xfId="0" applyFont="1" applyFill="1" applyAlignment="1">
      <alignment horizontal="center"/>
    </xf>
    <xf numFmtId="0" fontId="4" fillId="0" borderId="0" xfId="0" applyFont="1"/>
    <xf numFmtId="0" fontId="4" fillId="5" borderId="0" xfId="0" applyFont="1" applyFill="1"/>
    <xf numFmtId="0" fontId="4" fillId="4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'class example'!$A$5:$A$45</c:f>
              <c:numCache>
                <c:formatCode>General</c:formatCode>
                <c:ptCount val="41"/>
                <c:pt idx="0">
                  <c:v>-2</c:v>
                </c:pt>
                <c:pt idx="1">
                  <c:v>-1.9</c:v>
                </c:pt>
                <c:pt idx="2">
                  <c:v>-1.7999999999999998</c:v>
                </c:pt>
                <c:pt idx="3">
                  <c:v>-1.6999999999999997</c:v>
                </c:pt>
                <c:pt idx="4">
                  <c:v>-1.5999999999999996</c:v>
                </c:pt>
                <c:pt idx="5">
                  <c:v>-1.4999999999999996</c:v>
                </c:pt>
                <c:pt idx="6">
                  <c:v>-1.3999999999999995</c:v>
                </c:pt>
                <c:pt idx="7">
                  <c:v>-1.2999999999999994</c:v>
                </c:pt>
                <c:pt idx="8">
                  <c:v>-1.1999999999999993</c:v>
                </c:pt>
                <c:pt idx="9">
                  <c:v>-1.0999999999999992</c:v>
                </c:pt>
                <c:pt idx="10">
                  <c:v>-0.99999999999999922</c:v>
                </c:pt>
                <c:pt idx="11">
                  <c:v>-0.89999999999999925</c:v>
                </c:pt>
                <c:pt idx="12">
                  <c:v>-0.79999999999999927</c:v>
                </c:pt>
                <c:pt idx="13">
                  <c:v>-0.69999999999999929</c:v>
                </c:pt>
                <c:pt idx="14">
                  <c:v>-0.59999999999999931</c:v>
                </c:pt>
                <c:pt idx="15">
                  <c:v>-0.49999999999999933</c:v>
                </c:pt>
                <c:pt idx="16">
                  <c:v>-0.39999999999999936</c:v>
                </c:pt>
                <c:pt idx="17">
                  <c:v>-0.29999999999999938</c:v>
                </c:pt>
                <c:pt idx="18">
                  <c:v>-0.19999999999999937</c:v>
                </c:pt>
                <c:pt idx="19">
                  <c:v>-9.9999999999999367E-2</c:v>
                </c:pt>
                <c:pt idx="20">
                  <c:v>6.3837823915946501E-16</c:v>
                </c:pt>
                <c:pt idx="21">
                  <c:v>0.10000000000000064</c:v>
                </c:pt>
                <c:pt idx="22">
                  <c:v>0.20000000000000065</c:v>
                </c:pt>
                <c:pt idx="23">
                  <c:v>0.30000000000000066</c:v>
                </c:pt>
                <c:pt idx="24">
                  <c:v>0.40000000000000069</c:v>
                </c:pt>
                <c:pt idx="25">
                  <c:v>0.50000000000000067</c:v>
                </c:pt>
                <c:pt idx="26">
                  <c:v>0.60000000000000064</c:v>
                </c:pt>
                <c:pt idx="27">
                  <c:v>0.70000000000000062</c:v>
                </c:pt>
                <c:pt idx="28">
                  <c:v>0.8000000000000006</c:v>
                </c:pt>
                <c:pt idx="29">
                  <c:v>0.90000000000000058</c:v>
                </c:pt>
                <c:pt idx="30">
                  <c:v>1.0000000000000007</c:v>
                </c:pt>
                <c:pt idx="31">
                  <c:v>1.1000000000000008</c:v>
                </c:pt>
                <c:pt idx="32">
                  <c:v>1.2000000000000008</c:v>
                </c:pt>
                <c:pt idx="33">
                  <c:v>1.3000000000000009</c:v>
                </c:pt>
                <c:pt idx="34">
                  <c:v>1.400000000000001</c:v>
                </c:pt>
                <c:pt idx="35">
                  <c:v>1.5000000000000011</c:v>
                </c:pt>
                <c:pt idx="36">
                  <c:v>1.6000000000000012</c:v>
                </c:pt>
                <c:pt idx="37">
                  <c:v>1.7000000000000013</c:v>
                </c:pt>
                <c:pt idx="38">
                  <c:v>1.8000000000000014</c:v>
                </c:pt>
                <c:pt idx="39">
                  <c:v>1.9000000000000015</c:v>
                </c:pt>
                <c:pt idx="40">
                  <c:v>2.0000000000000013</c:v>
                </c:pt>
              </c:numCache>
            </c:numRef>
          </c:xVal>
          <c:yVal>
            <c:numRef>
              <c:f>'class example'!$B$5:$B$45</c:f>
              <c:numCache>
                <c:formatCode>General</c:formatCode>
                <c:ptCount val="41"/>
                <c:pt idx="0">
                  <c:v>-3.3890560989306504</c:v>
                </c:pt>
                <c:pt idx="1">
                  <c:v>-3.0758944422792687</c:v>
                </c:pt>
                <c:pt idx="2">
                  <c:v>-2.8096474644129454</c:v>
                </c:pt>
                <c:pt idx="3">
                  <c:v>-2.5839473917271989</c:v>
                </c:pt>
                <c:pt idx="4">
                  <c:v>-2.3930324243951144</c:v>
                </c:pt>
                <c:pt idx="5">
                  <c:v>-2.2316890703380641</c:v>
                </c:pt>
                <c:pt idx="6">
                  <c:v>-2.0951999668446746</c:v>
                </c:pt>
                <c:pt idx="7">
                  <c:v>-1.9792966676192434</c:v>
                </c:pt>
                <c:pt idx="8">
                  <c:v>-1.8801169227365466</c:v>
                </c:pt>
                <c:pt idx="9">
                  <c:v>-1.7941660239464325</c:v>
                </c:pt>
                <c:pt idx="10">
                  <c:v>-1.7182818284590449</c:v>
                </c:pt>
                <c:pt idx="11">
                  <c:v>-1.6496031111569489</c:v>
                </c:pt>
                <c:pt idx="12">
                  <c:v>-1.5855409284924673</c:v>
                </c:pt>
                <c:pt idx="13">
                  <c:v>-1.5237527074704764</c:v>
                </c:pt>
                <c:pt idx="14">
                  <c:v>-1.4621188003905086</c:v>
                </c:pt>
                <c:pt idx="15">
                  <c:v>-1.3987212707001278</c:v>
                </c:pt>
                <c:pt idx="16">
                  <c:v>-1.33182469764127</c:v>
                </c:pt>
                <c:pt idx="17">
                  <c:v>-1.2598588075760027</c:v>
                </c:pt>
                <c:pt idx="18">
                  <c:v>-1.1814027581601692</c:v>
                </c:pt>
                <c:pt idx="19">
                  <c:v>-1.095170918075647</c:v>
                </c:pt>
                <c:pt idx="20">
                  <c:v>-0.99999999999999933</c:v>
                </c:pt>
                <c:pt idx="21">
                  <c:v>-0.89483741803595884</c:v>
                </c:pt>
                <c:pt idx="22">
                  <c:v>-0.77873075307798112</c:v>
                </c:pt>
                <c:pt idx="23">
                  <c:v>-0.65081822068171702</c:v>
                </c:pt>
                <c:pt idx="24">
                  <c:v>-0.5103200460356383</c:v>
                </c:pt>
                <c:pt idx="25">
                  <c:v>-0.35653065971263231</c:v>
                </c:pt>
                <c:pt idx="26">
                  <c:v>-0.18881163609402529</c:v>
                </c:pt>
                <c:pt idx="27">
                  <c:v>-6.5853037914083146E-3</c:v>
                </c:pt>
                <c:pt idx="28">
                  <c:v>0.19067103588277967</c:v>
                </c:pt>
                <c:pt idx="29">
                  <c:v>0.40343034025940216</c:v>
                </c:pt>
                <c:pt idx="30">
                  <c:v>0.63212055882855922</c:v>
                </c:pt>
                <c:pt idx="31">
                  <c:v>0.87712891630192247</c:v>
                </c:pt>
                <c:pt idx="32">
                  <c:v>1.1388057880878</c:v>
                </c:pt>
                <c:pt idx="33">
                  <c:v>1.4174682069659901</c:v>
                </c:pt>
                <c:pt idx="34">
                  <c:v>1.7134030360583967</c:v>
                </c:pt>
                <c:pt idx="35">
                  <c:v>2.0268698398515741</c:v>
                </c:pt>
                <c:pt idx="36">
                  <c:v>2.3581034820053488</c:v>
                </c:pt>
                <c:pt idx="37">
                  <c:v>2.7073164759472701</c:v>
                </c:pt>
                <c:pt idx="38">
                  <c:v>3.0747011117784186</c:v>
                </c:pt>
                <c:pt idx="39">
                  <c:v>3.4604313807773708</c:v>
                </c:pt>
                <c:pt idx="40">
                  <c:v>3.864664716763393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D1-4418-8921-56BFA5074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569119"/>
        <c:axId val="292567871"/>
      </c:scatterChart>
      <c:valAx>
        <c:axId val="292569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567871"/>
        <c:crosses val="autoZero"/>
        <c:crossBetween val="midCat"/>
      </c:valAx>
      <c:valAx>
        <c:axId val="29256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f(x)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569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'class example'!$AB$7:$AB$33</c:f>
              <c:numCache>
                <c:formatCode>General</c:formatCode>
                <c:ptCount val="27"/>
                <c:pt idx="0">
                  <c:v>-1</c:v>
                </c:pt>
                <c:pt idx="1">
                  <c:v>-0.8</c:v>
                </c:pt>
                <c:pt idx="2">
                  <c:v>-0.60000000000000009</c:v>
                </c:pt>
                <c:pt idx="3">
                  <c:v>-0.40000000000000008</c:v>
                </c:pt>
                <c:pt idx="4">
                  <c:v>-0.20000000000000007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0.60000000000000009</c:v>
                </c:pt>
                <c:pt idx="9">
                  <c:v>0.8</c:v>
                </c:pt>
                <c:pt idx="10">
                  <c:v>1</c:v>
                </c:pt>
                <c:pt idx="11">
                  <c:v>1.2</c:v>
                </c:pt>
                <c:pt idx="12">
                  <c:v>1.4</c:v>
                </c:pt>
                <c:pt idx="13">
                  <c:v>1.5999999999999999</c:v>
                </c:pt>
                <c:pt idx="14">
                  <c:v>1.7999999999999998</c:v>
                </c:pt>
                <c:pt idx="15">
                  <c:v>1.9999999999999998</c:v>
                </c:pt>
                <c:pt idx="16">
                  <c:v>2.1999999999999997</c:v>
                </c:pt>
                <c:pt idx="17">
                  <c:v>2.4</c:v>
                </c:pt>
                <c:pt idx="18">
                  <c:v>2.6</c:v>
                </c:pt>
                <c:pt idx="19">
                  <c:v>2.8000000000000003</c:v>
                </c:pt>
                <c:pt idx="20">
                  <c:v>3.0000000000000004</c:v>
                </c:pt>
                <c:pt idx="21">
                  <c:v>3.2000000000000006</c:v>
                </c:pt>
                <c:pt idx="22">
                  <c:v>3.4000000000000008</c:v>
                </c:pt>
                <c:pt idx="23">
                  <c:v>3.600000000000001</c:v>
                </c:pt>
                <c:pt idx="24">
                  <c:v>3.8000000000000012</c:v>
                </c:pt>
                <c:pt idx="25">
                  <c:v>4.0000000000000009</c:v>
                </c:pt>
                <c:pt idx="26">
                  <c:v>4.2000000000000011</c:v>
                </c:pt>
              </c:numCache>
            </c:numRef>
          </c:xVal>
          <c:yVal>
            <c:numRef>
              <c:f>'class example'!$AD$7:$AD$33</c:f>
              <c:numCache>
                <c:formatCode>0.00</c:formatCode>
                <c:ptCount val="27"/>
                <c:pt idx="0">
                  <c:v>-2.7182818284590451</c:v>
                </c:pt>
                <c:pt idx="1">
                  <c:v>-2.7819261606155847</c:v>
                </c:pt>
                <c:pt idx="2">
                  <c:v>-3.0368646673175146</c:v>
                </c:pt>
                <c:pt idx="3">
                  <c:v>-3.729561744103175</c:v>
                </c:pt>
                <c:pt idx="4">
                  <c:v>-6.1070137908008473</c:v>
                </c:pt>
                <c:pt idx="5">
                  <c:v>0</c:v>
                </c:pt>
                <c:pt idx="6">
                  <c:v>4.0936537653899085</c:v>
                </c:pt>
                <c:pt idx="7">
                  <c:v>1.6758001150890982</c:v>
                </c:pt>
                <c:pt idx="8">
                  <c:v>0.9146860601567105</c:v>
                </c:pt>
                <c:pt idx="9">
                  <c:v>0.56166120514652695</c:v>
                </c:pt>
                <c:pt idx="10">
                  <c:v>0.36787944117144233</c:v>
                </c:pt>
                <c:pt idx="11">
                  <c:v>0.25099517659350179</c:v>
                </c:pt>
                <c:pt idx="12">
                  <c:v>0.17614068852971893</c:v>
                </c:pt>
                <c:pt idx="13">
                  <c:v>0.12618532374665967</c:v>
                </c:pt>
                <c:pt idx="14">
                  <c:v>9.1832715678659207E-2</c:v>
                </c:pt>
                <c:pt idx="15">
                  <c:v>6.7667641618306379E-2</c:v>
                </c:pt>
                <c:pt idx="16">
                  <c:v>5.036507198287906E-2</c:v>
                </c:pt>
                <c:pt idx="17">
                  <c:v>3.7799147203921885E-2</c:v>
                </c:pt>
                <c:pt idx="18">
                  <c:v>2.8566760851666876E-2</c:v>
                </c:pt>
                <c:pt idx="19">
                  <c:v>2.1717879509006409E-2</c:v>
                </c:pt>
                <c:pt idx="20">
                  <c:v>1.6595689455954639E-2</c:v>
                </c:pt>
                <c:pt idx="21">
                  <c:v>1.2738188743239433E-2</c:v>
                </c:pt>
                <c:pt idx="22">
                  <c:v>9.8156676353900133E-3</c:v>
                </c:pt>
                <c:pt idx="23">
                  <c:v>7.5899229020257022E-3</c:v>
                </c:pt>
                <c:pt idx="24">
                  <c:v>5.8870452253067269E-3</c:v>
                </c:pt>
                <c:pt idx="25">
                  <c:v>4.5789097221835403E-3</c:v>
                </c:pt>
                <c:pt idx="26">
                  <c:v>3.5703754334470684E-3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E6-495C-9BED-FF81ABF87770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'class example'!$AB$7:$AB$33</c:f>
              <c:numCache>
                <c:formatCode>General</c:formatCode>
                <c:ptCount val="27"/>
                <c:pt idx="0">
                  <c:v>-1</c:v>
                </c:pt>
                <c:pt idx="1">
                  <c:v>-0.8</c:v>
                </c:pt>
                <c:pt idx="2">
                  <c:v>-0.60000000000000009</c:v>
                </c:pt>
                <c:pt idx="3">
                  <c:v>-0.40000000000000008</c:v>
                </c:pt>
                <c:pt idx="4">
                  <c:v>-0.20000000000000007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0.60000000000000009</c:v>
                </c:pt>
                <c:pt idx="9">
                  <c:v>0.8</c:v>
                </c:pt>
                <c:pt idx="10">
                  <c:v>1</c:v>
                </c:pt>
                <c:pt idx="11">
                  <c:v>1.2</c:v>
                </c:pt>
                <c:pt idx="12">
                  <c:v>1.4</c:v>
                </c:pt>
                <c:pt idx="13">
                  <c:v>1.5999999999999999</c:v>
                </c:pt>
                <c:pt idx="14">
                  <c:v>1.7999999999999998</c:v>
                </c:pt>
                <c:pt idx="15">
                  <c:v>1.9999999999999998</c:v>
                </c:pt>
                <c:pt idx="16">
                  <c:v>2.1999999999999997</c:v>
                </c:pt>
                <c:pt idx="17">
                  <c:v>2.4</c:v>
                </c:pt>
                <c:pt idx="18">
                  <c:v>2.6</c:v>
                </c:pt>
                <c:pt idx="19">
                  <c:v>2.8000000000000003</c:v>
                </c:pt>
                <c:pt idx="20">
                  <c:v>3.0000000000000004</c:v>
                </c:pt>
                <c:pt idx="21">
                  <c:v>3.2000000000000006</c:v>
                </c:pt>
                <c:pt idx="22">
                  <c:v>3.4000000000000008</c:v>
                </c:pt>
                <c:pt idx="23">
                  <c:v>3.600000000000001</c:v>
                </c:pt>
                <c:pt idx="24">
                  <c:v>3.8000000000000012</c:v>
                </c:pt>
                <c:pt idx="25">
                  <c:v>4.0000000000000009</c:v>
                </c:pt>
                <c:pt idx="26">
                  <c:v>4.2000000000000011</c:v>
                </c:pt>
              </c:numCache>
            </c:numRef>
          </c:xVal>
          <c:yVal>
            <c:numRef>
              <c:f>'class example'!$AC$7:$AC$33</c:f>
              <c:numCache>
                <c:formatCode>General</c:formatCode>
                <c:ptCount val="27"/>
                <c:pt idx="0">
                  <c:v>-1</c:v>
                </c:pt>
                <c:pt idx="1">
                  <c:v>-0.8</c:v>
                </c:pt>
                <c:pt idx="2">
                  <c:v>-0.60000000000000009</c:v>
                </c:pt>
                <c:pt idx="3">
                  <c:v>-0.40000000000000008</c:v>
                </c:pt>
                <c:pt idx="4">
                  <c:v>-0.20000000000000007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0.60000000000000009</c:v>
                </c:pt>
                <c:pt idx="9">
                  <c:v>0.8</c:v>
                </c:pt>
                <c:pt idx="10">
                  <c:v>1</c:v>
                </c:pt>
                <c:pt idx="11">
                  <c:v>1.2</c:v>
                </c:pt>
                <c:pt idx="12">
                  <c:v>1.4</c:v>
                </c:pt>
                <c:pt idx="13">
                  <c:v>1.5999999999999999</c:v>
                </c:pt>
                <c:pt idx="14">
                  <c:v>1.7999999999999998</c:v>
                </c:pt>
                <c:pt idx="15">
                  <c:v>1.9999999999999998</c:v>
                </c:pt>
                <c:pt idx="16">
                  <c:v>2.1999999999999997</c:v>
                </c:pt>
                <c:pt idx="17">
                  <c:v>2.4</c:v>
                </c:pt>
                <c:pt idx="18">
                  <c:v>2.6</c:v>
                </c:pt>
                <c:pt idx="19">
                  <c:v>2.8000000000000003</c:v>
                </c:pt>
                <c:pt idx="20">
                  <c:v>3.0000000000000004</c:v>
                </c:pt>
                <c:pt idx="21">
                  <c:v>3.2000000000000006</c:v>
                </c:pt>
                <c:pt idx="22">
                  <c:v>3.4000000000000008</c:v>
                </c:pt>
                <c:pt idx="23">
                  <c:v>3.600000000000001</c:v>
                </c:pt>
                <c:pt idx="24">
                  <c:v>3.8000000000000012</c:v>
                </c:pt>
                <c:pt idx="25">
                  <c:v>4.0000000000000009</c:v>
                </c:pt>
                <c:pt idx="26">
                  <c:v>4.2000000000000011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9D-46F9-90A6-9D6CB60D4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569119"/>
        <c:axId val="292567871"/>
      </c:scatterChart>
      <c:valAx>
        <c:axId val="292569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567871"/>
        <c:crosses val="autoZero"/>
        <c:crossBetween val="midCat"/>
      </c:valAx>
      <c:valAx>
        <c:axId val="29256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g(x)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569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'class example'!$AB$7:$AB$33</c:f>
              <c:numCache>
                <c:formatCode>General</c:formatCode>
                <c:ptCount val="27"/>
                <c:pt idx="0">
                  <c:v>-1</c:v>
                </c:pt>
                <c:pt idx="1">
                  <c:v>-0.8</c:v>
                </c:pt>
                <c:pt idx="2">
                  <c:v>-0.60000000000000009</c:v>
                </c:pt>
                <c:pt idx="3">
                  <c:v>-0.40000000000000008</c:v>
                </c:pt>
                <c:pt idx="4">
                  <c:v>-0.20000000000000007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0.60000000000000009</c:v>
                </c:pt>
                <c:pt idx="9">
                  <c:v>0.8</c:v>
                </c:pt>
                <c:pt idx="10">
                  <c:v>1</c:v>
                </c:pt>
                <c:pt idx="11">
                  <c:v>1.2</c:v>
                </c:pt>
                <c:pt idx="12">
                  <c:v>1.4</c:v>
                </c:pt>
                <c:pt idx="13">
                  <c:v>1.5999999999999999</c:v>
                </c:pt>
                <c:pt idx="14">
                  <c:v>1.7999999999999998</c:v>
                </c:pt>
                <c:pt idx="15">
                  <c:v>1.9999999999999998</c:v>
                </c:pt>
                <c:pt idx="16">
                  <c:v>2.1999999999999997</c:v>
                </c:pt>
                <c:pt idx="17">
                  <c:v>2.4</c:v>
                </c:pt>
                <c:pt idx="18">
                  <c:v>2.6</c:v>
                </c:pt>
                <c:pt idx="19">
                  <c:v>2.8000000000000003</c:v>
                </c:pt>
                <c:pt idx="20">
                  <c:v>3.0000000000000004</c:v>
                </c:pt>
                <c:pt idx="21">
                  <c:v>3.2000000000000006</c:v>
                </c:pt>
                <c:pt idx="22">
                  <c:v>3.4000000000000008</c:v>
                </c:pt>
                <c:pt idx="23">
                  <c:v>3.600000000000001</c:v>
                </c:pt>
                <c:pt idx="24">
                  <c:v>3.8000000000000012</c:v>
                </c:pt>
                <c:pt idx="25">
                  <c:v>4.0000000000000009</c:v>
                </c:pt>
                <c:pt idx="26">
                  <c:v>4.2000000000000011</c:v>
                </c:pt>
              </c:numCache>
            </c:numRef>
          </c:xVal>
          <c:yVal>
            <c:numRef>
              <c:f>'class example'!$AD$7:$AD$33</c:f>
              <c:numCache>
                <c:formatCode>0.00</c:formatCode>
                <c:ptCount val="27"/>
                <c:pt idx="0">
                  <c:v>-2.7182818284590451</c:v>
                </c:pt>
                <c:pt idx="1">
                  <c:v>-2.7819261606155847</c:v>
                </c:pt>
                <c:pt idx="2">
                  <c:v>-3.0368646673175146</c:v>
                </c:pt>
                <c:pt idx="3">
                  <c:v>-3.729561744103175</c:v>
                </c:pt>
                <c:pt idx="4">
                  <c:v>-6.1070137908008473</c:v>
                </c:pt>
                <c:pt idx="5">
                  <c:v>0</c:v>
                </c:pt>
                <c:pt idx="6">
                  <c:v>4.0936537653899085</c:v>
                </c:pt>
                <c:pt idx="7">
                  <c:v>1.6758001150890982</c:v>
                </c:pt>
                <c:pt idx="8">
                  <c:v>0.9146860601567105</c:v>
                </c:pt>
                <c:pt idx="9">
                  <c:v>0.56166120514652695</c:v>
                </c:pt>
                <c:pt idx="10">
                  <c:v>0.36787944117144233</c:v>
                </c:pt>
                <c:pt idx="11">
                  <c:v>0.25099517659350179</c:v>
                </c:pt>
                <c:pt idx="12">
                  <c:v>0.17614068852971893</c:v>
                </c:pt>
                <c:pt idx="13">
                  <c:v>0.12618532374665967</c:v>
                </c:pt>
                <c:pt idx="14">
                  <c:v>9.1832715678659207E-2</c:v>
                </c:pt>
                <c:pt idx="15">
                  <c:v>6.7667641618306379E-2</c:v>
                </c:pt>
                <c:pt idx="16">
                  <c:v>5.036507198287906E-2</c:v>
                </c:pt>
                <c:pt idx="17">
                  <c:v>3.7799147203921885E-2</c:v>
                </c:pt>
                <c:pt idx="18">
                  <c:v>2.8566760851666876E-2</c:v>
                </c:pt>
                <c:pt idx="19">
                  <c:v>2.1717879509006409E-2</c:v>
                </c:pt>
                <c:pt idx="20">
                  <c:v>1.6595689455954639E-2</c:v>
                </c:pt>
                <c:pt idx="21">
                  <c:v>1.2738188743239433E-2</c:v>
                </c:pt>
                <c:pt idx="22">
                  <c:v>9.8156676353900133E-3</c:v>
                </c:pt>
                <c:pt idx="23">
                  <c:v>7.5899229020257022E-3</c:v>
                </c:pt>
                <c:pt idx="24">
                  <c:v>5.8870452253067269E-3</c:v>
                </c:pt>
                <c:pt idx="25">
                  <c:v>4.5789097221835403E-3</c:v>
                </c:pt>
                <c:pt idx="26">
                  <c:v>3.5703754334470684E-3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29-4C4E-B658-6F4852BBFE51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'class example'!$AB$7:$AB$33</c:f>
              <c:numCache>
                <c:formatCode>General</c:formatCode>
                <c:ptCount val="27"/>
                <c:pt idx="0">
                  <c:v>-1</c:v>
                </c:pt>
                <c:pt idx="1">
                  <c:v>-0.8</c:v>
                </c:pt>
                <c:pt idx="2">
                  <c:v>-0.60000000000000009</c:v>
                </c:pt>
                <c:pt idx="3">
                  <c:v>-0.40000000000000008</c:v>
                </c:pt>
                <c:pt idx="4">
                  <c:v>-0.20000000000000007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0.60000000000000009</c:v>
                </c:pt>
                <c:pt idx="9">
                  <c:v>0.8</c:v>
                </c:pt>
                <c:pt idx="10">
                  <c:v>1</c:v>
                </c:pt>
                <c:pt idx="11">
                  <c:v>1.2</c:v>
                </c:pt>
                <c:pt idx="12">
                  <c:v>1.4</c:v>
                </c:pt>
                <c:pt idx="13">
                  <c:v>1.5999999999999999</c:v>
                </c:pt>
                <c:pt idx="14">
                  <c:v>1.7999999999999998</c:v>
                </c:pt>
                <c:pt idx="15">
                  <c:v>1.9999999999999998</c:v>
                </c:pt>
                <c:pt idx="16">
                  <c:v>2.1999999999999997</c:v>
                </c:pt>
                <c:pt idx="17">
                  <c:v>2.4</c:v>
                </c:pt>
                <c:pt idx="18">
                  <c:v>2.6</c:v>
                </c:pt>
                <c:pt idx="19">
                  <c:v>2.8000000000000003</c:v>
                </c:pt>
                <c:pt idx="20">
                  <c:v>3.0000000000000004</c:v>
                </c:pt>
                <c:pt idx="21">
                  <c:v>3.2000000000000006</c:v>
                </c:pt>
                <c:pt idx="22">
                  <c:v>3.4000000000000008</c:v>
                </c:pt>
                <c:pt idx="23">
                  <c:v>3.600000000000001</c:v>
                </c:pt>
                <c:pt idx="24">
                  <c:v>3.8000000000000012</c:v>
                </c:pt>
                <c:pt idx="25">
                  <c:v>4.0000000000000009</c:v>
                </c:pt>
                <c:pt idx="26">
                  <c:v>4.2000000000000011</c:v>
                </c:pt>
              </c:numCache>
            </c:numRef>
          </c:xVal>
          <c:yVal>
            <c:numRef>
              <c:f>'class example'!$AC$7:$AC$33</c:f>
              <c:numCache>
                <c:formatCode>General</c:formatCode>
                <c:ptCount val="27"/>
                <c:pt idx="0">
                  <c:v>-1</c:v>
                </c:pt>
                <c:pt idx="1">
                  <c:v>-0.8</c:v>
                </c:pt>
                <c:pt idx="2">
                  <c:v>-0.60000000000000009</c:v>
                </c:pt>
                <c:pt idx="3">
                  <c:v>-0.40000000000000008</c:v>
                </c:pt>
                <c:pt idx="4">
                  <c:v>-0.20000000000000007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0.60000000000000009</c:v>
                </c:pt>
                <c:pt idx="9">
                  <c:v>0.8</c:v>
                </c:pt>
                <c:pt idx="10">
                  <c:v>1</c:v>
                </c:pt>
                <c:pt idx="11">
                  <c:v>1.2</c:v>
                </c:pt>
                <c:pt idx="12">
                  <c:v>1.4</c:v>
                </c:pt>
                <c:pt idx="13">
                  <c:v>1.5999999999999999</c:v>
                </c:pt>
                <c:pt idx="14">
                  <c:v>1.7999999999999998</c:v>
                </c:pt>
                <c:pt idx="15">
                  <c:v>1.9999999999999998</c:v>
                </c:pt>
                <c:pt idx="16">
                  <c:v>2.1999999999999997</c:v>
                </c:pt>
                <c:pt idx="17">
                  <c:v>2.4</c:v>
                </c:pt>
                <c:pt idx="18">
                  <c:v>2.6</c:v>
                </c:pt>
                <c:pt idx="19">
                  <c:v>2.8000000000000003</c:v>
                </c:pt>
                <c:pt idx="20">
                  <c:v>3.0000000000000004</c:v>
                </c:pt>
                <c:pt idx="21">
                  <c:v>3.2000000000000006</c:v>
                </c:pt>
                <c:pt idx="22">
                  <c:v>3.4000000000000008</c:v>
                </c:pt>
                <c:pt idx="23">
                  <c:v>3.600000000000001</c:v>
                </c:pt>
                <c:pt idx="24">
                  <c:v>3.8000000000000012</c:v>
                </c:pt>
                <c:pt idx="25">
                  <c:v>4.0000000000000009</c:v>
                </c:pt>
                <c:pt idx="26">
                  <c:v>4.2000000000000011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129-4C4E-B658-6F4852BBF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569119"/>
        <c:axId val="292567871"/>
      </c:scatterChart>
      <c:valAx>
        <c:axId val="292569119"/>
        <c:scaling>
          <c:orientation val="minMax"/>
          <c:max val="2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567871"/>
        <c:crosses val="autoZero"/>
        <c:crossBetween val="midCat"/>
      </c:valAx>
      <c:valAx>
        <c:axId val="29256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g(x)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569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'FPI converges'!$A$5:$A$45</c:f>
              <c:numCache>
                <c:formatCode>General</c:formatCode>
                <c:ptCount val="41"/>
                <c:pt idx="0">
                  <c:v>-2</c:v>
                </c:pt>
                <c:pt idx="1">
                  <c:v>-1.9</c:v>
                </c:pt>
                <c:pt idx="2">
                  <c:v>-1.7999999999999998</c:v>
                </c:pt>
                <c:pt idx="3">
                  <c:v>-1.6999999999999997</c:v>
                </c:pt>
                <c:pt idx="4">
                  <c:v>-1.5999999999999996</c:v>
                </c:pt>
                <c:pt idx="5">
                  <c:v>-1.4999999999999996</c:v>
                </c:pt>
                <c:pt idx="6">
                  <c:v>-1.3999999999999995</c:v>
                </c:pt>
                <c:pt idx="7">
                  <c:v>-1.2999999999999994</c:v>
                </c:pt>
                <c:pt idx="8">
                  <c:v>-1.1999999999999993</c:v>
                </c:pt>
                <c:pt idx="9">
                  <c:v>-1.0999999999999992</c:v>
                </c:pt>
                <c:pt idx="10">
                  <c:v>-0.99999999999999922</c:v>
                </c:pt>
                <c:pt idx="11">
                  <c:v>-0.89999999999999925</c:v>
                </c:pt>
                <c:pt idx="12">
                  <c:v>-0.79999999999999927</c:v>
                </c:pt>
                <c:pt idx="13">
                  <c:v>-0.69999999999999929</c:v>
                </c:pt>
                <c:pt idx="14">
                  <c:v>-0.59999999999999931</c:v>
                </c:pt>
                <c:pt idx="15">
                  <c:v>-0.49999999999999933</c:v>
                </c:pt>
                <c:pt idx="16">
                  <c:v>-0.39999999999999936</c:v>
                </c:pt>
                <c:pt idx="17">
                  <c:v>-0.29999999999999938</c:v>
                </c:pt>
                <c:pt idx="18">
                  <c:v>-0.19999999999999937</c:v>
                </c:pt>
                <c:pt idx="19">
                  <c:v>-9.9999999999999367E-2</c:v>
                </c:pt>
                <c:pt idx="20">
                  <c:v>6.3837823915946501E-16</c:v>
                </c:pt>
                <c:pt idx="21">
                  <c:v>0.10000000000000064</c:v>
                </c:pt>
                <c:pt idx="22">
                  <c:v>0.20000000000000065</c:v>
                </c:pt>
                <c:pt idx="23">
                  <c:v>0.30000000000000066</c:v>
                </c:pt>
                <c:pt idx="24">
                  <c:v>0.40000000000000069</c:v>
                </c:pt>
                <c:pt idx="25">
                  <c:v>0.50000000000000067</c:v>
                </c:pt>
                <c:pt idx="26">
                  <c:v>0.60000000000000064</c:v>
                </c:pt>
                <c:pt idx="27">
                  <c:v>0.70000000000000062</c:v>
                </c:pt>
                <c:pt idx="28">
                  <c:v>0.8000000000000006</c:v>
                </c:pt>
                <c:pt idx="29">
                  <c:v>0.90000000000000058</c:v>
                </c:pt>
                <c:pt idx="30">
                  <c:v>1.0000000000000007</c:v>
                </c:pt>
                <c:pt idx="31">
                  <c:v>1.1000000000000008</c:v>
                </c:pt>
                <c:pt idx="32">
                  <c:v>1.2000000000000008</c:v>
                </c:pt>
                <c:pt idx="33">
                  <c:v>1.3000000000000009</c:v>
                </c:pt>
                <c:pt idx="34">
                  <c:v>1.400000000000001</c:v>
                </c:pt>
                <c:pt idx="35">
                  <c:v>1.5000000000000011</c:v>
                </c:pt>
                <c:pt idx="36">
                  <c:v>1.6000000000000012</c:v>
                </c:pt>
                <c:pt idx="37">
                  <c:v>1.7000000000000013</c:v>
                </c:pt>
                <c:pt idx="38">
                  <c:v>1.8000000000000014</c:v>
                </c:pt>
                <c:pt idx="39">
                  <c:v>1.9000000000000015</c:v>
                </c:pt>
                <c:pt idx="40">
                  <c:v>2.0000000000000013</c:v>
                </c:pt>
              </c:numCache>
            </c:numRef>
          </c:xVal>
          <c:yVal>
            <c:numRef>
              <c:f>'FPI converges'!$B$5:$B$45</c:f>
              <c:numCache>
                <c:formatCode>General</c:formatCode>
                <c:ptCount val="41"/>
                <c:pt idx="0">
                  <c:v>9.3890560989306504</c:v>
                </c:pt>
                <c:pt idx="1">
                  <c:v>8.5858944422792689</c:v>
                </c:pt>
                <c:pt idx="2">
                  <c:v>7.8496474644129446</c:v>
                </c:pt>
                <c:pt idx="3">
                  <c:v>7.1739473917271983</c:v>
                </c:pt>
                <c:pt idx="4">
                  <c:v>6.5530324243951128</c:v>
                </c:pt>
                <c:pt idx="5">
                  <c:v>5.9816890703380619</c:v>
                </c:pt>
                <c:pt idx="6">
                  <c:v>5.4551999668446722</c:v>
                </c:pt>
                <c:pt idx="7">
                  <c:v>4.9692966676192416</c:v>
                </c:pt>
                <c:pt idx="8">
                  <c:v>4.5201169227365448</c:v>
                </c:pt>
                <c:pt idx="9">
                  <c:v>4.1041660239464299</c:v>
                </c:pt>
                <c:pt idx="10">
                  <c:v>3.7182818284590424</c:v>
                </c:pt>
                <c:pt idx="11">
                  <c:v>3.3596031111569467</c:v>
                </c:pt>
                <c:pt idx="12">
                  <c:v>3.0255409284924655</c:v>
                </c:pt>
                <c:pt idx="13">
                  <c:v>2.7137527074704746</c:v>
                </c:pt>
                <c:pt idx="14">
                  <c:v>2.422118800390507</c:v>
                </c:pt>
                <c:pt idx="15">
                  <c:v>2.1487212707001264</c:v>
                </c:pt>
                <c:pt idx="16">
                  <c:v>1.8918246976412689</c:v>
                </c:pt>
                <c:pt idx="17">
                  <c:v>1.6498588075760017</c:v>
                </c:pt>
                <c:pt idx="18">
                  <c:v>1.4214027581601683</c:v>
                </c:pt>
                <c:pt idx="19">
                  <c:v>1.2051709180756462</c:v>
                </c:pt>
                <c:pt idx="20">
                  <c:v>0.99999999999999867</c:v>
                </c:pt>
                <c:pt idx="21">
                  <c:v>0.80483741803595832</c:v>
                </c:pt>
                <c:pt idx="22">
                  <c:v>0.61873075307798076</c:v>
                </c:pt>
                <c:pt idx="23">
                  <c:v>0.44081822068171678</c:v>
                </c:pt>
                <c:pt idx="24">
                  <c:v>0.2703200460356382</c:v>
                </c:pt>
                <c:pt idx="25">
                  <c:v>0.10653065971263231</c:v>
                </c:pt>
                <c:pt idx="26">
                  <c:v>-5.1188363905974588E-2</c:v>
                </c:pt>
                <c:pt idx="27">
                  <c:v>-0.20341469620859143</c:v>
                </c:pt>
                <c:pt idx="28">
                  <c:v>-0.35067103588277926</c:v>
                </c:pt>
                <c:pt idx="29">
                  <c:v>-0.49343034025940169</c:v>
                </c:pt>
                <c:pt idx="30">
                  <c:v>-0.63212055882855855</c:v>
                </c:pt>
                <c:pt idx="31">
                  <c:v>-0.76712891630192148</c:v>
                </c:pt>
                <c:pt idx="32">
                  <c:v>-0.89880578808779898</c:v>
                </c:pt>
                <c:pt idx="33">
                  <c:v>-1.0274682069659886</c:v>
                </c:pt>
                <c:pt idx="34">
                  <c:v>-1.1534030360583949</c:v>
                </c:pt>
                <c:pt idx="35">
                  <c:v>-1.2768698398515714</c:v>
                </c:pt>
                <c:pt idx="36">
                  <c:v>-1.398103482005346</c:v>
                </c:pt>
                <c:pt idx="37">
                  <c:v>-1.5173164759472668</c:v>
                </c:pt>
                <c:pt idx="38">
                  <c:v>-1.6347011117784152</c:v>
                </c:pt>
                <c:pt idx="39">
                  <c:v>-1.7504313807773666</c:v>
                </c:pt>
                <c:pt idx="40">
                  <c:v>-1.8646647167633887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4F-4F37-A031-81A63CDED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569119"/>
        <c:axId val="292567871"/>
      </c:scatterChart>
      <c:valAx>
        <c:axId val="292569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567871"/>
        <c:crosses val="autoZero"/>
        <c:crossBetween val="midCat"/>
      </c:valAx>
      <c:valAx>
        <c:axId val="29256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f(x)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569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'FPI converges'!$N$7:$N$33</c:f>
              <c:numCache>
                <c:formatCode>General</c:formatCode>
                <c:ptCount val="27"/>
                <c:pt idx="0">
                  <c:v>-1</c:v>
                </c:pt>
                <c:pt idx="1">
                  <c:v>-0.8</c:v>
                </c:pt>
                <c:pt idx="2">
                  <c:v>-0.60000000000000009</c:v>
                </c:pt>
                <c:pt idx="3">
                  <c:v>-0.40000000000000008</c:v>
                </c:pt>
                <c:pt idx="4">
                  <c:v>-0.20000000000000007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0.60000000000000009</c:v>
                </c:pt>
                <c:pt idx="9">
                  <c:v>0.8</c:v>
                </c:pt>
                <c:pt idx="10">
                  <c:v>1</c:v>
                </c:pt>
                <c:pt idx="11">
                  <c:v>1.2</c:v>
                </c:pt>
                <c:pt idx="12">
                  <c:v>1.4</c:v>
                </c:pt>
                <c:pt idx="13">
                  <c:v>1.5999999999999999</c:v>
                </c:pt>
                <c:pt idx="14">
                  <c:v>1.7999999999999998</c:v>
                </c:pt>
                <c:pt idx="15">
                  <c:v>1.9999999999999998</c:v>
                </c:pt>
                <c:pt idx="16">
                  <c:v>2.1999999999999997</c:v>
                </c:pt>
                <c:pt idx="17">
                  <c:v>2.4</c:v>
                </c:pt>
                <c:pt idx="18">
                  <c:v>2.6</c:v>
                </c:pt>
                <c:pt idx="19">
                  <c:v>2.8000000000000003</c:v>
                </c:pt>
                <c:pt idx="20">
                  <c:v>3.0000000000000004</c:v>
                </c:pt>
                <c:pt idx="21">
                  <c:v>3.2000000000000006</c:v>
                </c:pt>
                <c:pt idx="22">
                  <c:v>3.4000000000000008</c:v>
                </c:pt>
                <c:pt idx="23">
                  <c:v>3.600000000000001</c:v>
                </c:pt>
                <c:pt idx="24">
                  <c:v>3.8000000000000012</c:v>
                </c:pt>
                <c:pt idx="25">
                  <c:v>4.0000000000000009</c:v>
                </c:pt>
                <c:pt idx="26">
                  <c:v>4.2000000000000011</c:v>
                </c:pt>
              </c:numCache>
            </c:numRef>
          </c:xVal>
          <c:yVal>
            <c:numRef>
              <c:f>'FPI converges'!$P$7:$P$33</c:f>
              <c:numCache>
                <c:formatCode>0.00</c:formatCode>
                <c:ptCount val="27"/>
                <c:pt idx="0">
                  <c:v>2.7182818284590451</c:v>
                </c:pt>
                <c:pt idx="1">
                  <c:v>2.2255409284924679</c:v>
                </c:pt>
                <c:pt idx="2">
                  <c:v>1.8221188003905091</c:v>
                </c:pt>
                <c:pt idx="3">
                  <c:v>1.4918246976412703</c:v>
                </c:pt>
                <c:pt idx="4">
                  <c:v>1.2214027581601699</c:v>
                </c:pt>
                <c:pt idx="5">
                  <c:v>1</c:v>
                </c:pt>
                <c:pt idx="6">
                  <c:v>0.81873075307798182</c:v>
                </c:pt>
                <c:pt idx="7">
                  <c:v>0.67032004603563933</c:v>
                </c:pt>
                <c:pt idx="8">
                  <c:v>0.54881163609402639</c:v>
                </c:pt>
                <c:pt idx="9">
                  <c:v>0.44932896411722156</c:v>
                </c:pt>
                <c:pt idx="10">
                  <c:v>0.36787944117144233</c:v>
                </c:pt>
                <c:pt idx="11">
                  <c:v>0.30119421191220214</c:v>
                </c:pt>
                <c:pt idx="12">
                  <c:v>0.24659696394160649</c:v>
                </c:pt>
                <c:pt idx="13">
                  <c:v>0.20189651799465544</c:v>
                </c:pt>
                <c:pt idx="14">
                  <c:v>0.16529888822158656</c:v>
                </c:pt>
                <c:pt idx="15">
                  <c:v>0.13533528323661273</c:v>
                </c:pt>
                <c:pt idx="16">
                  <c:v>0.11080315836233391</c:v>
                </c:pt>
                <c:pt idx="17">
                  <c:v>9.0717953289412512E-2</c:v>
                </c:pt>
                <c:pt idx="18">
                  <c:v>7.4273578214333877E-2</c:v>
                </c:pt>
                <c:pt idx="19">
                  <c:v>6.0810062625217952E-2</c:v>
                </c:pt>
                <c:pt idx="20">
                  <c:v>4.9787068367863924E-2</c:v>
                </c:pt>
                <c:pt idx="21">
                  <c:v>4.076220397836619E-2</c:v>
                </c:pt>
                <c:pt idx="22">
                  <c:v>3.3373269960326052E-2</c:v>
                </c:pt>
                <c:pt idx="23">
                  <c:v>2.7323722447292535E-2</c:v>
                </c:pt>
                <c:pt idx="24">
                  <c:v>2.237077185616557E-2</c:v>
                </c:pt>
                <c:pt idx="25">
                  <c:v>1.8315638888734165E-2</c:v>
                </c:pt>
                <c:pt idx="26">
                  <c:v>1.4995576820477691E-2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B7-434C-A0B3-AAE74A0DB28D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'FPI converges'!$N$7:$N$33</c:f>
              <c:numCache>
                <c:formatCode>General</c:formatCode>
                <c:ptCount val="27"/>
                <c:pt idx="0">
                  <c:v>-1</c:v>
                </c:pt>
                <c:pt idx="1">
                  <c:v>-0.8</c:v>
                </c:pt>
                <c:pt idx="2">
                  <c:v>-0.60000000000000009</c:v>
                </c:pt>
                <c:pt idx="3">
                  <c:v>-0.40000000000000008</c:v>
                </c:pt>
                <c:pt idx="4">
                  <c:v>-0.20000000000000007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0.60000000000000009</c:v>
                </c:pt>
                <c:pt idx="9">
                  <c:v>0.8</c:v>
                </c:pt>
                <c:pt idx="10">
                  <c:v>1</c:v>
                </c:pt>
                <c:pt idx="11">
                  <c:v>1.2</c:v>
                </c:pt>
                <c:pt idx="12">
                  <c:v>1.4</c:v>
                </c:pt>
                <c:pt idx="13">
                  <c:v>1.5999999999999999</c:v>
                </c:pt>
                <c:pt idx="14">
                  <c:v>1.7999999999999998</c:v>
                </c:pt>
                <c:pt idx="15">
                  <c:v>1.9999999999999998</c:v>
                </c:pt>
                <c:pt idx="16">
                  <c:v>2.1999999999999997</c:v>
                </c:pt>
                <c:pt idx="17">
                  <c:v>2.4</c:v>
                </c:pt>
                <c:pt idx="18">
                  <c:v>2.6</c:v>
                </c:pt>
                <c:pt idx="19">
                  <c:v>2.8000000000000003</c:v>
                </c:pt>
                <c:pt idx="20">
                  <c:v>3.0000000000000004</c:v>
                </c:pt>
                <c:pt idx="21">
                  <c:v>3.2000000000000006</c:v>
                </c:pt>
                <c:pt idx="22">
                  <c:v>3.4000000000000008</c:v>
                </c:pt>
                <c:pt idx="23">
                  <c:v>3.600000000000001</c:v>
                </c:pt>
                <c:pt idx="24">
                  <c:v>3.8000000000000012</c:v>
                </c:pt>
                <c:pt idx="25">
                  <c:v>4.0000000000000009</c:v>
                </c:pt>
                <c:pt idx="26">
                  <c:v>4.2000000000000011</c:v>
                </c:pt>
              </c:numCache>
            </c:numRef>
          </c:xVal>
          <c:yVal>
            <c:numRef>
              <c:f>'FPI converges'!$O$7:$O$33</c:f>
              <c:numCache>
                <c:formatCode>General</c:formatCode>
                <c:ptCount val="27"/>
                <c:pt idx="0">
                  <c:v>-1</c:v>
                </c:pt>
                <c:pt idx="1">
                  <c:v>-0.8</c:v>
                </c:pt>
                <c:pt idx="2">
                  <c:v>-0.60000000000000009</c:v>
                </c:pt>
                <c:pt idx="3">
                  <c:v>-0.40000000000000008</c:v>
                </c:pt>
                <c:pt idx="4">
                  <c:v>-0.20000000000000007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0.60000000000000009</c:v>
                </c:pt>
                <c:pt idx="9">
                  <c:v>0.8</c:v>
                </c:pt>
                <c:pt idx="10">
                  <c:v>1</c:v>
                </c:pt>
                <c:pt idx="11">
                  <c:v>1.2</c:v>
                </c:pt>
                <c:pt idx="12">
                  <c:v>1.4</c:v>
                </c:pt>
                <c:pt idx="13">
                  <c:v>1.5999999999999999</c:v>
                </c:pt>
                <c:pt idx="14">
                  <c:v>1.7999999999999998</c:v>
                </c:pt>
                <c:pt idx="15">
                  <c:v>1.9999999999999998</c:v>
                </c:pt>
                <c:pt idx="16">
                  <c:v>2.1999999999999997</c:v>
                </c:pt>
                <c:pt idx="17">
                  <c:v>2.4</c:v>
                </c:pt>
                <c:pt idx="18">
                  <c:v>2.6</c:v>
                </c:pt>
                <c:pt idx="19">
                  <c:v>2.8000000000000003</c:v>
                </c:pt>
                <c:pt idx="20">
                  <c:v>3.0000000000000004</c:v>
                </c:pt>
                <c:pt idx="21">
                  <c:v>3.2000000000000006</c:v>
                </c:pt>
                <c:pt idx="22">
                  <c:v>3.4000000000000008</c:v>
                </c:pt>
                <c:pt idx="23">
                  <c:v>3.600000000000001</c:v>
                </c:pt>
                <c:pt idx="24">
                  <c:v>3.8000000000000012</c:v>
                </c:pt>
                <c:pt idx="25">
                  <c:v>4.0000000000000009</c:v>
                </c:pt>
                <c:pt idx="26">
                  <c:v>4.2000000000000011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CB7-434C-A0B3-AAE74A0DB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569119"/>
        <c:axId val="292567871"/>
      </c:scatterChart>
      <c:valAx>
        <c:axId val="292569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567871"/>
        <c:crosses val="autoZero"/>
        <c:crossBetween val="midCat"/>
      </c:valAx>
      <c:valAx>
        <c:axId val="29256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g(x)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569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'FPI converges'!$N$7:$N$33</c:f>
              <c:numCache>
                <c:formatCode>General</c:formatCode>
                <c:ptCount val="27"/>
                <c:pt idx="0">
                  <c:v>-1</c:v>
                </c:pt>
                <c:pt idx="1">
                  <c:v>-0.8</c:v>
                </c:pt>
                <c:pt idx="2">
                  <c:v>-0.60000000000000009</c:v>
                </c:pt>
                <c:pt idx="3">
                  <c:v>-0.40000000000000008</c:v>
                </c:pt>
                <c:pt idx="4">
                  <c:v>-0.20000000000000007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0.60000000000000009</c:v>
                </c:pt>
                <c:pt idx="9">
                  <c:v>0.8</c:v>
                </c:pt>
                <c:pt idx="10">
                  <c:v>1</c:v>
                </c:pt>
                <c:pt idx="11">
                  <c:v>1.2</c:v>
                </c:pt>
                <c:pt idx="12">
                  <c:v>1.4</c:v>
                </c:pt>
                <c:pt idx="13">
                  <c:v>1.5999999999999999</c:v>
                </c:pt>
                <c:pt idx="14">
                  <c:v>1.7999999999999998</c:v>
                </c:pt>
                <c:pt idx="15">
                  <c:v>1.9999999999999998</c:v>
                </c:pt>
                <c:pt idx="16">
                  <c:v>2.1999999999999997</c:v>
                </c:pt>
                <c:pt idx="17">
                  <c:v>2.4</c:v>
                </c:pt>
                <c:pt idx="18">
                  <c:v>2.6</c:v>
                </c:pt>
                <c:pt idx="19">
                  <c:v>2.8000000000000003</c:v>
                </c:pt>
                <c:pt idx="20">
                  <c:v>3.0000000000000004</c:v>
                </c:pt>
                <c:pt idx="21">
                  <c:v>3.2000000000000006</c:v>
                </c:pt>
                <c:pt idx="22">
                  <c:v>3.4000000000000008</c:v>
                </c:pt>
                <c:pt idx="23">
                  <c:v>3.600000000000001</c:v>
                </c:pt>
                <c:pt idx="24">
                  <c:v>3.8000000000000012</c:v>
                </c:pt>
                <c:pt idx="25">
                  <c:v>4.0000000000000009</c:v>
                </c:pt>
                <c:pt idx="26">
                  <c:v>4.2000000000000011</c:v>
                </c:pt>
              </c:numCache>
            </c:numRef>
          </c:xVal>
          <c:yVal>
            <c:numRef>
              <c:f>'FPI converges'!$P$7:$P$33</c:f>
              <c:numCache>
                <c:formatCode>0.00</c:formatCode>
                <c:ptCount val="27"/>
                <c:pt idx="0">
                  <c:v>2.7182818284590451</c:v>
                </c:pt>
                <c:pt idx="1">
                  <c:v>2.2255409284924679</c:v>
                </c:pt>
                <c:pt idx="2">
                  <c:v>1.8221188003905091</c:v>
                </c:pt>
                <c:pt idx="3">
                  <c:v>1.4918246976412703</c:v>
                </c:pt>
                <c:pt idx="4">
                  <c:v>1.2214027581601699</c:v>
                </c:pt>
                <c:pt idx="5">
                  <c:v>1</c:v>
                </c:pt>
                <c:pt idx="6">
                  <c:v>0.81873075307798182</c:v>
                </c:pt>
                <c:pt idx="7">
                  <c:v>0.67032004603563933</c:v>
                </c:pt>
                <c:pt idx="8">
                  <c:v>0.54881163609402639</c:v>
                </c:pt>
                <c:pt idx="9">
                  <c:v>0.44932896411722156</c:v>
                </c:pt>
                <c:pt idx="10">
                  <c:v>0.36787944117144233</c:v>
                </c:pt>
                <c:pt idx="11">
                  <c:v>0.30119421191220214</c:v>
                </c:pt>
                <c:pt idx="12">
                  <c:v>0.24659696394160649</c:v>
                </c:pt>
                <c:pt idx="13">
                  <c:v>0.20189651799465544</c:v>
                </c:pt>
                <c:pt idx="14">
                  <c:v>0.16529888822158656</c:v>
                </c:pt>
                <c:pt idx="15">
                  <c:v>0.13533528323661273</c:v>
                </c:pt>
                <c:pt idx="16">
                  <c:v>0.11080315836233391</c:v>
                </c:pt>
                <c:pt idx="17">
                  <c:v>9.0717953289412512E-2</c:v>
                </c:pt>
                <c:pt idx="18">
                  <c:v>7.4273578214333877E-2</c:v>
                </c:pt>
                <c:pt idx="19">
                  <c:v>6.0810062625217952E-2</c:v>
                </c:pt>
                <c:pt idx="20">
                  <c:v>4.9787068367863924E-2</c:v>
                </c:pt>
                <c:pt idx="21">
                  <c:v>4.076220397836619E-2</c:v>
                </c:pt>
                <c:pt idx="22">
                  <c:v>3.3373269960326052E-2</c:v>
                </c:pt>
                <c:pt idx="23">
                  <c:v>2.7323722447292535E-2</c:v>
                </c:pt>
                <c:pt idx="24">
                  <c:v>2.237077185616557E-2</c:v>
                </c:pt>
                <c:pt idx="25">
                  <c:v>1.8315638888734165E-2</c:v>
                </c:pt>
                <c:pt idx="26">
                  <c:v>1.4995576820477691E-2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C2-469C-ABDB-2C102BAE10E1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'FPI converges'!$N$7:$N$33</c:f>
              <c:numCache>
                <c:formatCode>General</c:formatCode>
                <c:ptCount val="27"/>
                <c:pt idx="0">
                  <c:v>-1</c:v>
                </c:pt>
                <c:pt idx="1">
                  <c:v>-0.8</c:v>
                </c:pt>
                <c:pt idx="2">
                  <c:v>-0.60000000000000009</c:v>
                </c:pt>
                <c:pt idx="3">
                  <c:v>-0.40000000000000008</c:v>
                </c:pt>
                <c:pt idx="4">
                  <c:v>-0.20000000000000007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0.60000000000000009</c:v>
                </c:pt>
                <c:pt idx="9">
                  <c:v>0.8</c:v>
                </c:pt>
                <c:pt idx="10">
                  <c:v>1</c:v>
                </c:pt>
                <c:pt idx="11">
                  <c:v>1.2</c:v>
                </c:pt>
                <c:pt idx="12">
                  <c:v>1.4</c:v>
                </c:pt>
                <c:pt idx="13">
                  <c:v>1.5999999999999999</c:v>
                </c:pt>
                <c:pt idx="14">
                  <c:v>1.7999999999999998</c:v>
                </c:pt>
                <c:pt idx="15">
                  <c:v>1.9999999999999998</c:v>
                </c:pt>
                <c:pt idx="16">
                  <c:v>2.1999999999999997</c:v>
                </c:pt>
                <c:pt idx="17">
                  <c:v>2.4</c:v>
                </c:pt>
                <c:pt idx="18">
                  <c:v>2.6</c:v>
                </c:pt>
                <c:pt idx="19">
                  <c:v>2.8000000000000003</c:v>
                </c:pt>
                <c:pt idx="20">
                  <c:v>3.0000000000000004</c:v>
                </c:pt>
                <c:pt idx="21">
                  <c:v>3.2000000000000006</c:v>
                </c:pt>
                <c:pt idx="22">
                  <c:v>3.4000000000000008</c:v>
                </c:pt>
                <c:pt idx="23">
                  <c:v>3.600000000000001</c:v>
                </c:pt>
                <c:pt idx="24">
                  <c:v>3.8000000000000012</c:v>
                </c:pt>
                <c:pt idx="25">
                  <c:v>4.0000000000000009</c:v>
                </c:pt>
                <c:pt idx="26">
                  <c:v>4.2000000000000011</c:v>
                </c:pt>
              </c:numCache>
            </c:numRef>
          </c:xVal>
          <c:yVal>
            <c:numRef>
              <c:f>'FPI converges'!$O$7:$O$33</c:f>
              <c:numCache>
                <c:formatCode>General</c:formatCode>
                <c:ptCount val="27"/>
                <c:pt idx="0">
                  <c:v>-1</c:v>
                </c:pt>
                <c:pt idx="1">
                  <c:v>-0.8</c:v>
                </c:pt>
                <c:pt idx="2">
                  <c:v>-0.60000000000000009</c:v>
                </c:pt>
                <c:pt idx="3">
                  <c:v>-0.40000000000000008</c:v>
                </c:pt>
                <c:pt idx="4">
                  <c:v>-0.20000000000000007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0.60000000000000009</c:v>
                </c:pt>
                <c:pt idx="9">
                  <c:v>0.8</c:v>
                </c:pt>
                <c:pt idx="10">
                  <c:v>1</c:v>
                </c:pt>
                <c:pt idx="11">
                  <c:v>1.2</c:v>
                </c:pt>
                <c:pt idx="12">
                  <c:v>1.4</c:v>
                </c:pt>
                <c:pt idx="13">
                  <c:v>1.5999999999999999</c:v>
                </c:pt>
                <c:pt idx="14">
                  <c:v>1.7999999999999998</c:v>
                </c:pt>
                <c:pt idx="15">
                  <c:v>1.9999999999999998</c:v>
                </c:pt>
                <c:pt idx="16">
                  <c:v>2.1999999999999997</c:v>
                </c:pt>
                <c:pt idx="17">
                  <c:v>2.4</c:v>
                </c:pt>
                <c:pt idx="18">
                  <c:v>2.6</c:v>
                </c:pt>
                <c:pt idx="19">
                  <c:v>2.8000000000000003</c:v>
                </c:pt>
                <c:pt idx="20">
                  <c:v>3.0000000000000004</c:v>
                </c:pt>
                <c:pt idx="21">
                  <c:v>3.2000000000000006</c:v>
                </c:pt>
                <c:pt idx="22">
                  <c:v>3.4000000000000008</c:v>
                </c:pt>
                <c:pt idx="23">
                  <c:v>3.600000000000001</c:v>
                </c:pt>
                <c:pt idx="24">
                  <c:v>3.8000000000000012</c:v>
                </c:pt>
                <c:pt idx="25">
                  <c:v>4.0000000000000009</c:v>
                </c:pt>
                <c:pt idx="26">
                  <c:v>4.2000000000000011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7C2-469C-ABDB-2C102BAE1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569119"/>
        <c:axId val="292567871"/>
      </c:scatterChart>
      <c:valAx>
        <c:axId val="292569119"/>
        <c:scaling>
          <c:orientation val="minMax"/>
          <c:max val="2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567871"/>
        <c:crosses val="autoZero"/>
        <c:crossBetween val="midCat"/>
      </c:valAx>
      <c:valAx>
        <c:axId val="29256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g(x)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569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'cubic function'!$A$5:$A$45</c:f>
              <c:numCache>
                <c:formatCode>General</c:formatCode>
                <c:ptCount val="41"/>
                <c:pt idx="0">
                  <c:v>-2</c:v>
                </c:pt>
                <c:pt idx="1">
                  <c:v>-1.9</c:v>
                </c:pt>
                <c:pt idx="2">
                  <c:v>-1.7999999999999998</c:v>
                </c:pt>
                <c:pt idx="3">
                  <c:v>-1.6999999999999997</c:v>
                </c:pt>
                <c:pt idx="4">
                  <c:v>-1.5999999999999996</c:v>
                </c:pt>
                <c:pt idx="5">
                  <c:v>-1.4999999999999996</c:v>
                </c:pt>
                <c:pt idx="6">
                  <c:v>-1.3999999999999995</c:v>
                </c:pt>
                <c:pt idx="7">
                  <c:v>-1.2999999999999994</c:v>
                </c:pt>
                <c:pt idx="8">
                  <c:v>-1.1999999999999993</c:v>
                </c:pt>
                <c:pt idx="9">
                  <c:v>-1.0999999999999992</c:v>
                </c:pt>
                <c:pt idx="10">
                  <c:v>-0.99999999999999922</c:v>
                </c:pt>
                <c:pt idx="11">
                  <c:v>-0.89999999999999925</c:v>
                </c:pt>
                <c:pt idx="12">
                  <c:v>-0.79999999999999927</c:v>
                </c:pt>
                <c:pt idx="13">
                  <c:v>-0.69999999999999929</c:v>
                </c:pt>
                <c:pt idx="14">
                  <c:v>-0.59999999999999931</c:v>
                </c:pt>
                <c:pt idx="15">
                  <c:v>-0.49999999999999933</c:v>
                </c:pt>
                <c:pt idx="16">
                  <c:v>-0.39999999999999936</c:v>
                </c:pt>
                <c:pt idx="17">
                  <c:v>-0.29999999999999938</c:v>
                </c:pt>
                <c:pt idx="18">
                  <c:v>-0.19999999999999937</c:v>
                </c:pt>
                <c:pt idx="19">
                  <c:v>-9.9999999999999367E-2</c:v>
                </c:pt>
                <c:pt idx="20">
                  <c:v>6.3837823915946501E-16</c:v>
                </c:pt>
                <c:pt idx="21">
                  <c:v>0.10000000000000064</c:v>
                </c:pt>
                <c:pt idx="22">
                  <c:v>0.20000000000000065</c:v>
                </c:pt>
                <c:pt idx="23">
                  <c:v>0.30000000000000066</c:v>
                </c:pt>
                <c:pt idx="24">
                  <c:v>0.40000000000000069</c:v>
                </c:pt>
                <c:pt idx="25">
                  <c:v>0.50000000000000067</c:v>
                </c:pt>
                <c:pt idx="26">
                  <c:v>0.60000000000000064</c:v>
                </c:pt>
                <c:pt idx="27">
                  <c:v>0.70000000000000062</c:v>
                </c:pt>
                <c:pt idx="28">
                  <c:v>0.8000000000000006</c:v>
                </c:pt>
                <c:pt idx="29">
                  <c:v>0.90000000000000058</c:v>
                </c:pt>
                <c:pt idx="30">
                  <c:v>1.0000000000000007</c:v>
                </c:pt>
                <c:pt idx="31">
                  <c:v>1.1000000000000008</c:v>
                </c:pt>
                <c:pt idx="32">
                  <c:v>1.2000000000000008</c:v>
                </c:pt>
                <c:pt idx="33">
                  <c:v>1.3000000000000009</c:v>
                </c:pt>
                <c:pt idx="34">
                  <c:v>1.400000000000001</c:v>
                </c:pt>
                <c:pt idx="35">
                  <c:v>1.5000000000000011</c:v>
                </c:pt>
                <c:pt idx="36">
                  <c:v>1.6000000000000012</c:v>
                </c:pt>
                <c:pt idx="37">
                  <c:v>1.7000000000000013</c:v>
                </c:pt>
                <c:pt idx="38">
                  <c:v>1.8000000000000014</c:v>
                </c:pt>
                <c:pt idx="39">
                  <c:v>1.9000000000000015</c:v>
                </c:pt>
                <c:pt idx="40">
                  <c:v>2.0000000000000013</c:v>
                </c:pt>
              </c:numCache>
            </c:numRef>
          </c:xVal>
          <c:yVal>
            <c:numRef>
              <c:f>'cubic function'!$B$5:$B$45</c:f>
              <c:numCache>
                <c:formatCode>General</c:formatCode>
                <c:ptCount val="41"/>
                <c:pt idx="0">
                  <c:v>-8</c:v>
                </c:pt>
                <c:pt idx="1">
                  <c:v>-6.8589999999999991</c:v>
                </c:pt>
                <c:pt idx="2">
                  <c:v>-5.8319999999999981</c:v>
                </c:pt>
                <c:pt idx="3">
                  <c:v>-4.9129999999999976</c:v>
                </c:pt>
                <c:pt idx="4">
                  <c:v>-4.0959999999999974</c:v>
                </c:pt>
                <c:pt idx="5">
                  <c:v>-3.3749999999999969</c:v>
                </c:pt>
                <c:pt idx="6">
                  <c:v>-2.7439999999999967</c:v>
                </c:pt>
                <c:pt idx="7">
                  <c:v>-2.196999999999997</c:v>
                </c:pt>
                <c:pt idx="8">
                  <c:v>-1.7279999999999971</c:v>
                </c:pt>
                <c:pt idx="9">
                  <c:v>-1.3309999999999971</c:v>
                </c:pt>
                <c:pt idx="10">
                  <c:v>-0.99999999999999767</c:v>
                </c:pt>
                <c:pt idx="11">
                  <c:v>-0.72899999999999809</c:v>
                </c:pt>
                <c:pt idx="12">
                  <c:v>-0.51199999999999857</c:v>
                </c:pt>
                <c:pt idx="13">
                  <c:v>-0.34299999999999897</c:v>
                </c:pt>
                <c:pt idx="14">
                  <c:v>-0.21599999999999925</c:v>
                </c:pt>
                <c:pt idx="15">
                  <c:v>-0.1249999999999995</c:v>
                </c:pt>
                <c:pt idx="16">
                  <c:v>-6.3999999999999682E-2</c:v>
                </c:pt>
                <c:pt idx="17">
                  <c:v>-2.699999999999983E-2</c:v>
                </c:pt>
                <c:pt idx="18">
                  <c:v>-7.9999999999999256E-3</c:v>
                </c:pt>
                <c:pt idx="19">
                  <c:v>-9.9999999999998094E-4</c:v>
                </c:pt>
                <c:pt idx="20">
                  <c:v>2.6015622582153396E-46</c:v>
                </c:pt>
                <c:pt idx="21">
                  <c:v>1.0000000000000193E-3</c:v>
                </c:pt>
                <c:pt idx="22">
                  <c:v>8.0000000000000782E-3</c:v>
                </c:pt>
                <c:pt idx="23">
                  <c:v>2.700000000000018E-2</c:v>
                </c:pt>
                <c:pt idx="24">
                  <c:v>6.4000000000000334E-2</c:v>
                </c:pt>
                <c:pt idx="25">
                  <c:v>0.1250000000000005</c:v>
                </c:pt>
                <c:pt idx="26">
                  <c:v>0.21600000000000069</c:v>
                </c:pt>
                <c:pt idx="27">
                  <c:v>0.34300000000000092</c:v>
                </c:pt>
                <c:pt idx="28">
                  <c:v>0.51200000000000123</c:v>
                </c:pt>
                <c:pt idx="29">
                  <c:v>0.72900000000000142</c:v>
                </c:pt>
                <c:pt idx="30">
                  <c:v>1.000000000000002</c:v>
                </c:pt>
                <c:pt idx="31">
                  <c:v>1.3310000000000028</c:v>
                </c:pt>
                <c:pt idx="32">
                  <c:v>1.7280000000000035</c:v>
                </c:pt>
                <c:pt idx="33">
                  <c:v>2.1970000000000045</c:v>
                </c:pt>
                <c:pt idx="34">
                  <c:v>2.744000000000006</c:v>
                </c:pt>
                <c:pt idx="35">
                  <c:v>3.375000000000008</c:v>
                </c:pt>
                <c:pt idx="36">
                  <c:v>4.0960000000000099</c:v>
                </c:pt>
                <c:pt idx="37">
                  <c:v>4.9130000000000118</c:v>
                </c:pt>
                <c:pt idx="38">
                  <c:v>5.8320000000000141</c:v>
                </c:pt>
                <c:pt idx="39">
                  <c:v>6.859000000000016</c:v>
                </c:pt>
                <c:pt idx="40">
                  <c:v>8.000000000000016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C56-4B55-9D9E-1A2ED0E99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569119"/>
        <c:axId val="292567871"/>
      </c:scatterChart>
      <c:valAx>
        <c:axId val="292569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567871"/>
        <c:crosses val="autoZero"/>
        <c:crossBetween val="midCat"/>
      </c:valAx>
      <c:valAx>
        <c:axId val="29256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f(x)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569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148788</xdr:colOff>
      <xdr:row>9</xdr:row>
      <xdr:rowOff>178675</xdr:rowOff>
    </xdr:from>
    <xdr:to>
      <xdr:col>6</xdr:col>
      <xdr:colOff>551794</xdr:colOff>
      <xdr:row>26</xdr:row>
      <xdr:rowOff>101160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126783</xdr:colOff>
      <xdr:row>0</xdr:row>
      <xdr:rowOff>0</xdr:rowOff>
    </xdr:from>
    <xdr:to>
      <xdr:col>12</xdr:col>
      <xdr:colOff>59317</xdr:colOff>
      <xdr:row>4</xdr:row>
      <xdr:rowOff>183274</xdr:rowOff>
    </xdr:to>
    <xdr:pic>
      <xdr:nvPicPr>
        <xdr:cNvPr id="3" name="Picture 2" descr="C:\Users\dscro\AppData\Roaming\PixelMetrics\CaptureWiz\Temp\13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22783" y="0"/>
          <a:ext cx="1151734" cy="9189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304471</xdr:colOff>
      <xdr:row>17</xdr:row>
      <xdr:rowOff>61421</xdr:rowOff>
    </xdr:from>
    <xdr:to>
      <xdr:col>31</xdr:col>
      <xdr:colOff>171121</xdr:colOff>
      <xdr:row>39</xdr:row>
      <xdr:rowOff>178677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342900</xdr:colOff>
      <xdr:row>38</xdr:row>
      <xdr:rowOff>57150</xdr:rowOff>
    </xdr:from>
    <xdr:to>
      <xdr:col>31</xdr:col>
      <xdr:colOff>209550</xdr:colOff>
      <xdr:row>60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404648</xdr:colOff>
      <xdr:row>1</xdr:row>
      <xdr:rowOff>26275</xdr:rowOff>
    </xdr:from>
    <xdr:to>
      <xdr:col>3</xdr:col>
      <xdr:colOff>530772</xdr:colOff>
      <xdr:row>3</xdr:row>
      <xdr:rowOff>13282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8E9C65F-130D-ADBE-F86B-AA05FE938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248" y="210206"/>
          <a:ext cx="1345324" cy="354869"/>
        </a:xfrm>
        <a:prstGeom prst="rect">
          <a:avLst/>
        </a:prstGeom>
      </xdr:spPr>
    </xdr:pic>
    <xdr:clientData/>
  </xdr:twoCellAnchor>
  <xdr:twoCellAnchor editAs="oneCell">
    <xdr:from>
      <xdr:col>17</xdr:col>
      <xdr:colOff>147146</xdr:colOff>
      <xdr:row>0</xdr:row>
      <xdr:rowOff>0</xdr:rowOff>
    </xdr:from>
    <xdr:to>
      <xdr:col>20</xdr:col>
      <xdr:colOff>972584</xdr:colOff>
      <xdr:row>4</xdr:row>
      <xdr:rowOff>113093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22F977C-5452-0FA2-25F1-C8968E95A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10346" y="0"/>
          <a:ext cx="2654238" cy="8488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8</xdr:row>
      <xdr:rowOff>62864</xdr:rowOff>
    </xdr:from>
    <xdr:to>
      <xdr:col>7</xdr:col>
      <xdr:colOff>184785</xdr:colOff>
      <xdr:row>25</xdr:row>
      <xdr:rowOff>160019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232410</xdr:colOff>
      <xdr:row>35</xdr:row>
      <xdr:rowOff>19050</xdr:rowOff>
    </xdr:from>
    <xdr:to>
      <xdr:col>15</xdr:col>
      <xdr:colOff>1032510</xdr:colOff>
      <xdr:row>57</xdr:row>
      <xdr:rowOff>135255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169984</xdr:colOff>
      <xdr:row>12</xdr:row>
      <xdr:rowOff>52754</xdr:rowOff>
    </xdr:from>
    <xdr:to>
      <xdr:col>13</xdr:col>
      <xdr:colOff>895789</xdr:colOff>
      <xdr:row>24</xdr:row>
      <xdr:rowOff>1758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247650</xdr:colOff>
      <xdr:row>0</xdr:row>
      <xdr:rowOff>152400</xdr:rowOff>
    </xdr:from>
    <xdr:to>
      <xdr:col>5</xdr:col>
      <xdr:colOff>161925</xdr:colOff>
      <xdr:row>3</xdr:row>
      <xdr:rowOff>76200</xdr:rowOff>
    </xdr:to>
    <xdr:pic>
      <xdr:nvPicPr>
        <xdr:cNvPr id="6" name="Picture 5" descr="C:\Users\dscro\AppData\Roaming\PixelMetrics\CaptureWiz\Temp\14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6850" y="152400"/>
          <a:ext cx="1743075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7</xdr:row>
      <xdr:rowOff>7620</xdr:rowOff>
    </xdr:from>
    <xdr:to>
      <xdr:col>8</xdr:col>
      <xdr:colOff>571500</xdr:colOff>
      <xdr:row>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61"/>
  <sheetViews>
    <sheetView tabSelected="1" zoomScale="145" zoomScaleNormal="145" workbookViewId="0">
      <pane xSplit="7" ySplit="8" topLeftCell="H9" activePane="bottomRight" state="frozen"/>
      <selection pane="topRight" activeCell="H1" sqref="H1"/>
      <selection pane="bottomLeft" activeCell="A9" sqref="A9"/>
      <selection pane="bottomRight" activeCell="C5" sqref="C5"/>
    </sheetView>
  </sheetViews>
  <sheetFormatPr defaultRowHeight="14.4" x14ac:dyDescent="0.3"/>
  <cols>
    <col min="21" max="21" width="73.33203125" bestFit="1" customWidth="1"/>
    <col min="22" max="22" width="3.5546875" customWidth="1"/>
    <col min="23" max="25" width="9.109375" customWidth="1"/>
    <col min="26" max="26" width="14.33203125" customWidth="1"/>
    <col min="27" max="27" width="18" customWidth="1"/>
    <col min="28" max="29" width="13.6640625" customWidth="1"/>
    <col min="30" max="30" width="16.6640625" bestFit="1" customWidth="1"/>
    <col min="31" max="31" width="3" customWidth="1"/>
  </cols>
  <sheetData>
    <row r="1" spans="1:40" x14ac:dyDescent="0.3">
      <c r="A1" s="9" t="s">
        <v>28</v>
      </c>
      <c r="W1" t="s">
        <v>33</v>
      </c>
    </row>
    <row r="2" spans="1:40" x14ac:dyDescent="0.3">
      <c r="W2" t="s">
        <v>34</v>
      </c>
    </row>
    <row r="3" spans="1:40" x14ac:dyDescent="0.3">
      <c r="H3" s="7" t="s">
        <v>23</v>
      </c>
      <c r="O3" s="7" t="s">
        <v>23</v>
      </c>
      <c r="W3" s="6" t="s">
        <v>22</v>
      </c>
      <c r="AF3" s="7" t="s">
        <v>23</v>
      </c>
    </row>
    <row r="4" spans="1:40" x14ac:dyDescent="0.3">
      <c r="A4" t="s">
        <v>1</v>
      </c>
      <c r="B4" t="s">
        <v>7</v>
      </c>
      <c r="H4" s="10" t="s">
        <v>5</v>
      </c>
      <c r="I4" s="10"/>
      <c r="J4" s="7"/>
      <c r="O4" s="10" t="s">
        <v>24</v>
      </c>
      <c r="P4" s="10"/>
      <c r="Q4" s="7"/>
      <c r="W4" s="11" t="s">
        <v>19</v>
      </c>
      <c r="X4" s="11"/>
      <c r="Y4" s="11"/>
      <c r="AF4" s="10" t="s">
        <v>11</v>
      </c>
      <c r="AG4" s="10"/>
      <c r="AH4" s="10"/>
    </row>
    <row r="5" spans="1:40" x14ac:dyDescent="0.3">
      <c r="A5">
        <v>-2</v>
      </c>
      <c r="B5">
        <f>A5^2-EXP(-A5)</f>
        <v>-3.3890560989306504</v>
      </c>
    </row>
    <row r="6" spans="1:40" x14ac:dyDescent="0.3">
      <c r="A6">
        <f>+A5+0.1</f>
        <v>-1.9</v>
      </c>
      <c r="B6">
        <f>A6^2-EXP(-A6)</f>
        <v>-3.0758944422792687</v>
      </c>
      <c r="H6" t="s">
        <v>6</v>
      </c>
      <c r="I6" t="s">
        <v>9</v>
      </c>
      <c r="J6" t="s">
        <v>7</v>
      </c>
      <c r="K6" t="s">
        <v>8</v>
      </c>
      <c r="L6" s="1" t="s">
        <v>10</v>
      </c>
      <c r="M6" s="1" t="s">
        <v>18</v>
      </c>
      <c r="N6" s="1"/>
      <c r="O6" s="1" t="s">
        <v>6</v>
      </c>
      <c r="P6" s="1" t="s">
        <v>25</v>
      </c>
      <c r="Q6" s="1" t="s">
        <v>9</v>
      </c>
      <c r="R6" s="1" t="s">
        <v>26</v>
      </c>
      <c r="S6" s="1" t="s">
        <v>27</v>
      </c>
      <c r="T6" s="1" t="s">
        <v>20</v>
      </c>
      <c r="U6" s="1" t="s">
        <v>10</v>
      </c>
      <c r="V6" s="1"/>
      <c r="W6" t="s">
        <v>6</v>
      </c>
      <c r="X6" s="2" t="s">
        <v>9</v>
      </c>
      <c r="Y6" s="2" t="s">
        <v>20</v>
      </c>
      <c r="Z6" s="3" t="s">
        <v>21</v>
      </c>
      <c r="AA6" s="8" t="s">
        <v>29</v>
      </c>
      <c r="AB6" s="3" t="s">
        <v>1</v>
      </c>
      <c r="AC6" s="3" t="s">
        <v>1</v>
      </c>
      <c r="AD6" s="3" t="s">
        <v>30</v>
      </c>
      <c r="AE6" s="1"/>
      <c r="AF6" t="s">
        <v>6</v>
      </c>
      <c r="AG6" t="s">
        <v>12</v>
      </c>
      <c r="AH6" t="s">
        <v>13</v>
      </c>
      <c r="AI6" t="s">
        <v>14</v>
      </c>
      <c r="AJ6" t="s">
        <v>15</v>
      </c>
      <c r="AK6" t="s">
        <v>16</v>
      </c>
      <c r="AL6" t="s">
        <v>17</v>
      </c>
      <c r="AM6" s="1" t="s">
        <v>10</v>
      </c>
      <c r="AN6" s="1" t="s">
        <v>18</v>
      </c>
    </row>
    <row r="7" spans="1:40" x14ac:dyDescent="0.3">
      <c r="A7">
        <f t="shared" ref="A7:A45" si="0">+A6+0.1</f>
        <v>-1.7999999999999998</v>
      </c>
      <c r="B7">
        <f t="shared" ref="B7:B45" si="1">A7^2-EXP(-A7)</f>
        <v>-2.8096474644129454</v>
      </c>
      <c r="H7">
        <v>1</v>
      </c>
      <c r="I7" s="4">
        <v>0</v>
      </c>
      <c r="J7">
        <f>I7^2-EXP(-I7)</f>
        <v>-1</v>
      </c>
      <c r="K7">
        <f>2*I7+EXP(-I7)</f>
        <v>1</v>
      </c>
      <c r="O7">
        <v>1</v>
      </c>
      <c r="P7" s="4">
        <v>0</v>
      </c>
      <c r="Q7" s="4">
        <v>1</v>
      </c>
      <c r="R7">
        <f>P7^2-EXP(-P7)</f>
        <v>-1</v>
      </c>
      <c r="S7">
        <f>Q7^2-EXP(-Q7)</f>
        <v>0.63212055882855767</v>
      </c>
      <c r="T7">
        <f>Q7-((S7*(P7-Q7))/(R7-S7))</f>
        <v>0.61269983678028206</v>
      </c>
      <c r="W7">
        <v>1</v>
      </c>
      <c r="X7" s="4">
        <v>0.70299999999999996</v>
      </c>
      <c r="Y7">
        <f>EXP(-X7)*1/X7</f>
        <v>0.70426426782495521</v>
      </c>
      <c r="Z7" s="5">
        <f>+ABS((Y7-X7)/Y7*100)</f>
        <v>0.17951611102744316</v>
      </c>
      <c r="AA7" s="5">
        <f>ABS(-EXP(-X7)*(X7^-1)-(X7^-2)*EXP(-X7))</f>
        <v>1.7060626573341375</v>
      </c>
      <c r="AB7">
        <v>-1</v>
      </c>
      <c r="AC7">
        <f>+AB7</f>
        <v>-1</v>
      </c>
      <c r="AD7" s="5">
        <f>EXP(-AB7)*1/AB7</f>
        <v>-2.7182818284590451</v>
      </c>
      <c r="AF7">
        <v>1</v>
      </c>
      <c r="AG7" s="4">
        <v>-2</v>
      </c>
      <c r="AH7" s="4">
        <v>1</v>
      </c>
      <c r="AI7">
        <f>AVERAGE(AG7:AH7)</f>
        <v>-0.5</v>
      </c>
      <c r="AJ7">
        <f>AG7^2-EXP(-AG7)</f>
        <v>-3.3890560989306504</v>
      </c>
      <c r="AK7">
        <f>AH7^2-EXP(-AH7)</f>
        <v>0.63212055882855767</v>
      </c>
      <c r="AL7">
        <f>AI7^2-EXP(-AI7)</f>
        <v>-1.3987212707001282</v>
      </c>
    </row>
    <row r="8" spans="1:40" x14ac:dyDescent="0.3">
      <c r="A8">
        <f t="shared" si="0"/>
        <v>-1.6999999999999997</v>
      </c>
      <c r="B8">
        <f t="shared" si="1"/>
        <v>-2.5839473917271989</v>
      </c>
      <c r="H8">
        <v>2</v>
      </c>
      <c r="I8">
        <f>+I7-J7/K7</f>
        <v>1</v>
      </c>
      <c r="J8">
        <f t="shared" ref="J8:J60" si="2">I8^2-EXP(-I8)</f>
        <v>0.63212055882855767</v>
      </c>
      <c r="K8">
        <f t="shared" ref="K8:K60" si="3">2*I8+EXP(-I8)</f>
        <v>2.3678794411714423</v>
      </c>
      <c r="L8">
        <f>ABS((I8-I7)/I8)*100</f>
        <v>100</v>
      </c>
      <c r="M8">
        <f t="shared" ref="M8:M39" si="4">ABS(+I8-I7)</f>
        <v>1</v>
      </c>
      <c r="O8">
        <v>2</v>
      </c>
      <c r="P8">
        <f>+Q7</f>
        <v>1</v>
      </c>
      <c r="Q8">
        <f>+T7</f>
        <v>0.61269983678028206</v>
      </c>
      <c r="R8">
        <f>P8^2-EXP(-P8)</f>
        <v>0.63212055882855767</v>
      </c>
      <c r="S8">
        <f>Q8^2-EXP(-Q8)</f>
        <v>-0.16648479891652679</v>
      </c>
      <c r="T8">
        <f>Q8-((S8*(P8-Q8))/(R8-S8))</f>
        <v>0.69344007871408919</v>
      </c>
      <c r="U8">
        <f>ABS((T8-Q8)/T8)*100</f>
        <v>11.643434582484952</v>
      </c>
      <c r="W8">
        <v>2</v>
      </c>
      <c r="X8">
        <f>+Y7</f>
        <v>0.70426426782495521</v>
      </c>
      <c r="Y8">
        <f t="shared" ref="Y8:Y33" si="5">EXP(-X8)*1/X8</f>
        <v>0.70211178131052043</v>
      </c>
      <c r="Z8" s="5">
        <f t="shared" ref="Z8:Z33" si="6">+ABS((Y8-X8)/Y8*100)</f>
        <v>0.30657319414539336</v>
      </c>
      <c r="AA8" s="5">
        <f t="shared" ref="AA8:AA33" si="7">ABS(-EXP(-X8)*(X8^-1)-(X8^-2)*EXP(-X8))</f>
        <v>1.6990554193555365</v>
      </c>
      <c r="AB8">
        <f>+AB7+0.2</f>
        <v>-0.8</v>
      </c>
      <c r="AC8">
        <f t="shared" ref="AC8:AC33" si="8">+AB8</f>
        <v>-0.8</v>
      </c>
      <c r="AD8" s="5">
        <f t="shared" ref="AD8:AD33" si="9">EXP(-AB8)*1/AB8</f>
        <v>-2.7819261606155847</v>
      </c>
      <c r="AF8">
        <v>2</v>
      </c>
      <c r="AG8">
        <f>IF(AJ7*AL7&gt;0,AI7,AG7)</f>
        <v>-0.5</v>
      </c>
      <c r="AH8">
        <f>IF(AK7*AL7&gt;0,AI7,AH7)</f>
        <v>1</v>
      </c>
      <c r="AI8">
        <f>AVERAGE(AG8:AH8)</f>
        <v>0.25</v>
      </c>
      <c r="AJ8">
        <f t="shared" ref="AJ8:AJ61" si="10">AG8^2-EXP(-AG8)</f>
        <v>-1.3987212707001282</v>
      </c>
      <c r="AK8">
        <f t="shared" ref="AK8:AK61" si="11">AH8^2-EXP(-AH8)</f>
        <v>0.63212055882855767</v>
      </c>
      <c r="AL8">
        <f t="shared" ref="AL8:AL61" si="12">AI8^2-EXP(-AI8)</f>
        <v>-0.71630078307140488</v>
      </c>
      <c r="AM8">
        <f>ABS((AI8-AI7)/AI8)*100</f>
        <v>300</v>
      </c>
      <c r="AN8">
        <f>ABS(+AI8-AI7)</f>
        <v>0.75</v>
      </c>
    </row>
    <row r="9" spans="1:40" x14ac:dyDescent="0.3">
      <c r="A9">
        <f t="shared" si="0"/>
        <v>-1.5999999999999996</v>
      </c>
      <c r="B9">
        <f t="shared" si="1"/>
        <v>-2.3930324243951144</v>
      </c>
      <c r="H9">
        <v>3</v>
      </c>
      <c r="I9">
        <f t="shared" ref="I9:I60" si="13">+I8-J8/K8</f>
        <v>0.73304360524544543</v>
      </c>
      <c r="J9">
        <f t="shared" si="2"/>
        <v>5.6908448004025391E-2</v>
      </c>
      <c r="K9">
        <f t="shared" si="3"/>
        <v>1.946531689678106</v>
      </c>
      <c r="L9">
        <f t="shared" ref="L9:L60" si="14">ABS((I9-I8)/I9)*100</f>
        <v>36.417532714874362</v>
      </c>
      <c r="M9">
        <f t="shared" si="4"/>
        <v>0.26695639475455457</v>
      </c>
      <c r="O9">
        <v>3</v>
      </c>
      <c r="P9">
        <f t="shared" ref="P9:P60" si="15">+Q8</f>
        <v>0.61269983678028206</v>
      </c>
      <c r="Q9">
        <f t="shared" ref="Q9:Q60" si="16">+T8</f>
        <v>0.69344007871408919</v>
      </c>
      <c r="R9">
        <f t="shared" ref="R9:R60" si="17">P9^2-EXP(-P9)</f>
        <v>-0.16648479891652679</v>
      </c>
      <c r="S9">
        <f t="shared" ref="S9:S60" si="18">Q9^2-EXP(-Q9)</f>
        <v>-1.8994429601164209E-2</v>
      </c>
      <c r="T9">
        <f t="shared" ref="T9:T60" si="19">Q9-((S9*(P9-Q9))/(R9-S9))</f>
        <v>0.70383814638800968</v>
      </c>
      <c r="U9">
        <f t="shared" ref="U9:U60" si="20">ABS((T9-Q9)/T9)*100</f>
        <v>1.4773378975382037</v>
      </c>
      <c r="W9">
        <v>3</v>
      </c>
      <c r="X9">
        <f t="shared" ref="X9:X33" si="21">+Y8</f>
        <v>0.70211178131052043</v>
      </c>
      <c r="Y9">
        <f t="shared" si="5"/>
        <v>0.70578181983323662</v>
      </c>
      <c r="Z9" s="5">
        <f t="shared" si="6"/>
        <v>0.51999618289733696</v>
      </c>
      <c r="AA9" s="5">
        <f t="shared" si="7"/>
        <v>1.7110089626050982</v>
      </c>
      <c r="AB9">
        <f t="shared" ref="AB9:AB33" si="22">+AB8+0.2</f>
        <v>-0.60000000000000009</v>
      </c>
      <c r="AC9">
        <f t="shared" si="8"/>
        <v>-0.60000000000000009</v>
      </c>
      <c r="AD9" s="5">
        <f t="shared" si="9"/>
        <v>-3.0368646673175146</v>
      </c>
      <c r="AF9">
        <v>3</v>
      </c>
      <c r="AG9">
        <f t="shared" ref="AG9:AG37" si="23">IF(AJ8*AL8&gt;0,AI8,AG8)</f>
        <v>0.25</v>
      </c>
      <c r="AH9">
        <f t="shared" ref="AH9:AH37" si="24">IF(AK8*AL8&gt;0,AI8,AH8)</f>
        <v>1</v>
      </c>
      <c r="AI9">
        <f t="shared" ref="AI9:AI37" si="25">AVERAGE(AG9:AH9)</f>
        <v>0.625</v>
      </c>
      <c r="AJ9">
        <f t="shared" si="10"/>
        <v>-0.71630078307140488</v>
      </c>
      <c r="AK9">
        <f t="shared" si="11"/>
        <v>0.63212055882855767</v>
      </c>
      <c r="AL9">
        <f t="shared" si="12"/>
        <v>-0.14463642851899028</v>
      </c>
      <c r="AM9">
        <f t="shared" ref="AM9:AM37" si="26">ABS((AI9-AI8)/AI9)*100</f>
        <v>60</v>
      </c>
      <c r="AN9">
        <f t="shared" ref="AN9:AN61" si="27">ABS(+AI9-AI8)</f>
        <v>0.375</v>
      </c>
    </row>
    <row r="10" spans="1:40" x14ac:dyDescent="0.3">
      <c r="A10">
        <f t="shared" si="0"/>
        <v>-1.4999999999999996</v>
      </c>
      <c r="B10">
        <f t="shared" si="1"/>
        <v>-2.2316890703380641</v>
      </c>
      <c r="H10">
        <v>4</v>
      </c>
      <c r="I10">
        <f t="shared" si="13"/>
        <v>0.70380778632413299</v>
      </c>
      <c r="J10">
        <f t="shared" si="2"/>
        <v>6.4739153874654454E-4</v>
      </c>
      <c r="K10">
        <f t="shared" si="3"/>
        <v>1.9023135811999958</v>
      </c>
      <c r="L10">
        <f t="shared" si="14"/>
        <v>4.1539493437556434</v>
      </c>
      <c r="M10">
        <f t="shared" si="4"/>
        <v>2.923581892131244E-2</v>
      </c>
      <c r="O10">
        <v>4</v>
      </c>
      <c r="P10">
        <f t="shared" si="15"/>
        <v>0.69344007871408919</v>
      </c>
      <c r="Q10">
        <f t="shared" si="16"/>
        <v>0.70383814638800968</v>
      </c>
      <c r="R10">
        <f t="shared" si="17"/>
        <v>-1.8994429601164209E-2</v>
      </c>
      <c r="S10">
        <f t="shared" si="18"/>
        <v>7.0514659433112969E-4</v>
      </c>
      <c r="T10">
        <f t="shared" si="19"/>
        <v>0.70346594741605584</v>
      </c>
      <c r="U10">
        <f t="shared" si="20"/>
        <v>5.2909309017869027E-2</v>
      </c>
      <c r="W10">
        <v>4</v>
      </c>
      <c r="X10">
        <f t="shared" si="21"/>
        <v>0.70578181983323662</v>
      </c>
      <c r="Y10">
        <f t="shared" si="5"/>
        <v>0.6995397266825969</v>
      </c>
      <c r="Z10" s="5">
        <f t="shared" si="6"/>
        <v>0.89231431933700034</v>
      </c>
      <c r="AA10" s="5">
        <f t="shared" si="7"/>
        <v>1.690695501774516</v>
      </c>
      <c r="AB10">
        <f t="shared" si="22"/>
        <v>-0.40000000000000008</v>
      </c>
      <c r="AC10">
        <f t="shared" si="8"/>
        <v>-0.40000000000000008</v>
      </c>
      <c r="AD10" s="5">
        <f t="shared" si="9"/>
        <v>-3.729561744103175</v>
      </c>
      <c r="AF10">
        <v>4</v>
      </c>
      <c r="AG10">
        <f t="shared" si="23"/>
        <v>0.625</v>
      </c>
      <c r="AH10">
        <f t="shared" si="24"/>
        <v>1</v>
      </c>
      <c r="AI10">
        <f t="shared" si="25"/>
        <v>0.8125</v>
      </c>
      <c r="AJ10">
        <f t="shared" si="10"/>
        <v>-0.14463642851899028</v>
      </c>
      <c r="AK10">
        <f t="shared" si="11"/>
        <v>0.63212055882855767</v>
      </c>
      <c r="AL10">
        <f t="shared" si="12"/>
        <v>0.21640893991892013</v>
      </c>
      <c r="AM10">
        <f t="shared" si="26"/>
        <v>23.076923076923077</v>
      </c>
      <c r="AN10">
        <f t="shared" si="27"/>
        <v>0.1875</v>
      </c>
    </row>
    <row r="11" spans="1:40" x14ac:dyDescent="0.3">
      <c r="A11">
        <f t="shared" si="0"/>
        <v>-1.3999999999999995</v>
      </c>
      <c r="B11">
        <f t="shared" si="1"/>
        <v>-2.0951999668446746</v>
      </c>
      <c r="H11">
        <v>5</v>
      </c>
      <c r="I11">
        <f t="shared" si="13"/>
        <v>0.70346746833179752</v>
      </c>
      <c r="J11">
        <f t="shared" si="2"/>
        <v>8.7166030615648538E-8</v>
      </c>
      <c r="K11">
        <f t="shared" si="3"/>
        <v>1.901801328498713</v>
      </c>
      <c r="L11">
        <f t="shared" si="14"/>
        <v>4.837721823050331E-2</v>
      </c>
      <c r="M11">
        <f t="shared" si="4"/>
        <v>3.4031799233547044E-4</v>
      </c>
      <c r="O11">
        <v>5</v>
      </c>
      <c r="P11">
        <f t="shared" si="15"/>
        <v>0.70383814638800968</v>
      </c>
      <c r="Q11">
        <f t="shared" si="16"/>
        <v>0.70346594741605584</v>
      </c>
      <c r="R11">
        <f t="shared" si="17"/>
        <v>7.0514659433112969E-4</v>
      </c>
      <c r="S11">
        <f t="shared" si="18"/>
        <v>-2.8053118066306837E-6</v>
      </c>
      <c r="T11">
        <f t="shared" si="19"/>
        <v>0.70346742228201975</v>
      </c>
      <c r="U11">
        <f t="shared" si="20"/>
        <v>2.0965661197622931E-4</v>
      </c>
      <c r="W11">
        <v>5</v>
      </c>
      <c r="X11">
        <f t="shared" si="21"/>
        <v>0.6995397266825969</v>
      </c>
      <c r="Y11">
        <f t="shared" si="5"/>
        <v>0.71020115429588437</v>
      </c>
      <c r="Z11" s="5">
        <f t="shared" si="6"/>
        <v>1.5011842136271307</v>
      </c>
      <c r="AA11" s="5">
        <f t="shared" si="7"/>
        <v>1.7254417863952891</v>
      </c>
      <c r="AB11">
        <f t="shared" si="22"/>
        <v>-0.20000000000000007</v>
      </c>
      <c r="AC11">
        <f t="shared" si="8"/>
        <v>-0.20000000000000007</v>
      </c>
      <c r="AD11" s="5">
        <f t="shared" si="9"/>
        <v>-6.1070137908008473</v>
      </c>
      <c r="AF11">
        <v>5</v>
      </c>
      <c r="AG11">
        <f t="shared" si="23"/>
        <v>0.625</v>
      </c>
      <c r="AH11">
        <f t="shared" si="24"/>
        <v>0.8125</v>
      </c>
      <c r="AI11">
        <f t="shared" si="25"/>
        <v>0.71875</v>
      </c>
      <c r="AJ11">
        <f t="shared" si="10"/>
        <v>-0.14463642851899028</v>
      </c>
      <c r="AK11">
        <f t="shared" si="11"/>
        <v>0.21640893991892013</v>
      </c>
      <c r="AL11">
        <f t="shared" si="12"/>
        <v>2.9240485786380888E-2</v>
      </c>
      <c r="AM11">
        <f t="shared" si="26"/>
        <v>13.043478260869565</v>
      </c>
      <c r="AN11">
        <f t="shared" si="27"/>
        <v>9.375E-2</v>
      </c>
    </row>
    <row r="12" spans="1:40" x14ac:dyDescent="0.3">
      <c r="A12">
        <f t="shared" si="0"/>
        <v>-1.2999999999999994</v>
      </c>
      <c r="B12">
        <f t="shared" si="1"/>
        <v>-1.9792966676192434</v>
      </c>
      <c r="H12">
        <v>6</v>
      </c>
      <c r="I12">
        <f t="shared" si="13"/>
        <v>0.70346742249839245</v>
      </c>
      <c r="J12">
        <f t="shared" si="2"/>
        <v>1.4988010832439613E-15</v>
      </c>
      <c r="K12">
        <f t="shared" si="3"/>
        <v>1.9018012595133151</v>
      </c>
      <c r="L12">
        <f t="shared" si="14"/>
        <v>6.5153557372238066E-6</v>
      </c>
      <c r="M12">
        <f t="shared" si="4"/>
        <v>4.5833405071249445E-8</v>
      </c>
      <c r="O12">
        <v>6</v>
      </c>
      <c r="P12">
        <f t="shared" si="15"/>
        <v>0.70346594741605584</v>
      </c>
      <c r="Q12">
        <f t="shared" si="16"/>
        <v>0.70346742228201975</v>
      </c>
      <c r="R12">
        <f t="shared" si="17"/>
        <v>-2.8053118066306837E-6</v>
      </c>
      <c r="S12">
        <f t="shared" si="18"/>
        <v>-4.114963925161419E-10</v>
      </c>
      <c r="T12">
        <f t="shared" si="19"/>
        <v>0.70346742249839178</v>
      </c>
      <c r="U12">
        <f t="shared" si="20"/>
        <v>3.0757931992722261E-8</v>
      </c>
      <c r="W12">
        <v>6</v>
      </c>
      <c r="X12">
        <f t="shared" si="21"/>
        <v>0.71020115429588437</v>
      </c>
      <c r="Y12">
        <f t="shared" si="5"/>
        <v>0.69212125056594387</v>
      </c>
      <c r="Z12" s="5">
        <f t="shared" si="6"/>
        <v>2.6122451398734925</v>
      </c>
      <c r="AA12" s="5">
        <f t="shared" si="7"/>
        <v>1.6666638099231368</v>
      </c>
      <c r="AB12">
        <f t="shared" si="22"/>
        <v>0</v>
      </c>
      <c r="AC12">
        <f t="shared" si="8"/>
        <v>0</v>
      </c>
      <c r="AD12" s="5" t="e">
        <f t="shared" si="9"/>
        <v>#DIV/0!</v>
      </c>
      <c r="AF12">
        <v>6</v>
      </c>
      <c r="AG12">
        <f t="shared" si="23"/>
        <v>0.625</v>
      </c>
      <c r="AH12">
        <f t="shared" si="24"/>
        <v>0.71875</v>
      </c>
      <c r="AI12">
        <f t="shared" si="25"/>
        <v>0.671875</v>
      </c>
      <c r="AJ12">
        <f t="shared" si="10"/>
        <v>-0.14463642851899028</v>
      </c>
      <c r="AK12">
        <f t="shared" si="11"/>
        <v>2.9240485786380888E-2</v>
      </c>
      <c r="AL12">
        <f t="shared" si="12"/>
        <v>-5.9334007504010744E-2</v>
      </c>
      <c r="AM12">
        <f t="shared" si="26"/>
        <v>6.9767441860465116</v>
      </c>
      <c r="AN12">
        <f t="shared" si="27"/>
        <v>4.6875E-2</v>
      </c>
    </row>
    <row r="13" spans="1:40" x14ac:dyDescent="0.3">
      <c r="A13">
        <f t="shared" si="0"/>
        <v>-1.1999999999999993</v>
      </c>
      <c r="B13">
        <f t="shared" si="1"/>
        <v>-1.8801169227365466</v>
      </c>
      <c r="H13">
        <v>7</v>
      </c>
      <c r="I13">
        <f t="shared" si="13"/>
        <v>0.70346742249839167</v>
      </c>
      <c r="J13">
        <f t="shared" si="2"/>
        <v>0</v>
      </c>
      <c r="K13">
        <f t="shared" si="3"/>
        <v>1.901801259513314</v>
      </c>
      <c r="L13">
        <f t="shared" si="14"/>
        <v>1.1047506855079511E-13</v>
      </c>
      <c r="M13">
        <f t="shared" si="4"/>
        <v>7.7715611723760958E-16</v>
      </c>
      <c r="O13">
        <v>7</v>
      </c>
      <c r="P13">
        <f t="shared" si="15"/>
        <v>0.70346742228201975</v>
      </c>
      <c r="Q13">
        <f t="shared" si="16"/>
        <v>0.70346742249839178</v>
      </c>
      <c r="R13">
        <f t="shared" si="17"/>
        <v>-4.114963925161419E-10</v>
      </c>
      <c r="S13">
        <f t="shared" si="18"/>
        <v>0</v>
      </c>
      <c r="T13">
        <f t="shared" si="19"/>
        <v>0.70346742249839178</v>
      </c>
      <c r="U13" s="12">
        <f t="shared" si="20"/>
        <v>0</v>
      </c>
      <c r="W13">
        <v>7</v>
      </c>
      <c r="X13">
        <f t="shared" si="21"/>
        <v>0.69212125056594387</v>
      </c>
      <c r="Y13">
        <f t="shared" si="5"/>
        <v>0.72315830183053964</v>
      </c>
      <c r="Z13" s="5">
        <f t="shared" si="6"/>
        <v>4.2918751241645561</v>
      </c>
      <c r="AA13" s="5">
        <f t="shared" si="7"/>
        <v>1.7680016746343901</v>
      </c>
      <c r="AB13">
        <f t="shared" si="22"/>
        <v>0.2</v>
      </c>
      <c r="AC13">
        <f t="shared" si="8"/>
        <v>0.2</v>
      </c>
      <c r="AD13" s="5">
        <f t="shared" si="9"/>
        <v>4.0936537653899085</v>
      </c>
      <c r="AF13">
        <v>7</v>
      </c>
      <c r="AG13">
        <f t="shared" si="23"/>
        <v>0.671875</v>
      </c>
      <c r="AH13">
        <f t="shared" si="24"/>
        <v>0.71875</v>
      </c>
      <c r="AI13">
        <f t="shared" si="25"/>
        <v>0.6953125</v>
      </c>
      <c r="AJ13">
        <f t="shared" si="10"/>
        <v>-5.9334007504010744E-2</v>
      </c>
      <c r="AK13">
        <f t="shared" si="11"/>
        <v>2.9240485786380888E-2</v>
      </c>
      <c r="AL13">
        <f t="shared" si="12"/>
        <v>-1.5459038930221936E-2</v>
      </c>
      <c r="AM13">
        <f t="shared" si="26"/>
        <v>3.3707865168539324</v>
      </c>
      <c r="AN13">
        <f t="shared" si="27"/>
        <v>2.34375E-2</v>
      </c>
    </row>
    <row r="14" spans="1:40" x14ac:dyDescent="0.3">
      <c r="A14">
        <f t="shared" si="0"/>
        <v>-1.0999999999999992</v>
      </c>
      <c r="B14">
        <f t="shared" si="1"/>
        <v>-1.7941660239464325</v>
      </c>
      <c r="H14">
        <v>8</v>
      </c>
      <c r="I14">
        <f t="shared" si="13"/>
        <v>0.70346742249839167</v>
      </c>
      <c r="J14">
        <f t="shared" si="2"/>
        <v>0</v>
      </c>
      <c r="K14">
        <f t="shared" si="3"/>
        <v>1.901801259513314</v>
      </c>
      <c r="L14">
        <f t="shared" si="14"/>
        <v>0</v>
      </c>
      <c r="M14">
        <f t="shared" si="4"/>
        <v>0</v>
      </c>
      <c r="O14">
        <v>8</v>
      </c>
      <c r="P14">
        <f t="shared" si="15"/>
        <v>0.70346742249839178</v>
      </c>
      <c r="Q14">
        <f t="shared" si="16"/>
        <v>0.70346742249839178</v>
      </c>
      <c r="R14">
        <f t="shared" si="17"/>
        <v>0</v>
      </c>
      <c r="S14">
        <f t="shared" si="18"/>
        <v>0</v>
      </c>
      <c r="T14" t="e">
        <f t="shared" si="19"/>
        <v>#DIV/0!</v>
      </c>
      <c r="U14" t="e">
        <f t="shared" si="20"/>
        <v>#DIV/0!</v>
      </c>
      <c r="W14">
        <v>8</v>
      </c>
      <c r="X14">
        <f t="shared" si="21"/>
        <v>0.72315830183053964</v>
      </c>
      <c r="Y14">
        <f t="shared" si="5"/>
        <v>0.67096978529090545</v>
      </c>
      <c r="Z14" s="5">
        <f t="shared" si="6"/>
        <v>7.7780725278124629</v>
      </c>
      <c r="AA14" s="5">
        <f t="shared" si="7"/>
        <v>1.5988022994063782</v>
      </c>
      <c r="AB14">
        <f t="shared" si="22"/>
        <v>0.4</v>
      </c>
      <c r="AC14">
        <f t="shared" si="8"/>
        <v>0.4</v>
      </c>
      <c r="AD14" s="5">
        <f t="shared" si="9"/>
        <v>1.6758001150890982</v>
      </c>
      <c r="AF14">
        <v>8</v>
      </c>
      <c r="AG14">
        <f t="shared" si="23"/>
        <v>0.6953125</v>
      </c>
      <c r="AH14">
        <f t="shared" si="24"/>
        <v>0.71875</v>
      </c>
      <c r="AI14">
        <f t="shared" si="25"/>
        <v>0.70703125</v>
      </c>
      <c r="AJ14">
        <f t="shared" si="10"/>
        <v>-1.5459038930221936E-2</v>
      </c>
      <c r="AK14">
        <f t="shared" si="11"/>
        <v>2.9240485786380888E-2</v>
      </c>
      <c r="AL14">
        <f t="shared" si="12"/>
        <v>6.7872536115081705E-3</v>
      </c>
      <c r="AM14">
        <f t="shared" si="26"/>
        <v>1.6574585635359116</v>
      </c>
      <c r="AN14">
        <f t="shared" si="27"/>
        <v>1.171875E-2</v>
      </c>
    </row>
    <row r="15" spans="1:40" x14ac:dyDescent="0.3">
      <c r="A15">
        <f t="shared" si="0"/>
        <v>-0.99999999999999922</v>
      </c>
      <c r="B15">
        <f t="shared" si="1"/>
        <v>-1.7182818284590449</v>
      </c>
      <c r="H15">
        <v>9</v>
      </c>
      <c r="I15">
        <f t="shared" si="13"/>
        <v>0.70346742249839167</v>
      </c>
      <c r="J15">
        <f t="shared" si="2"/>
        <v>0</v>
      </c>
      <c r="K15">
        <f t="shared" si="3"/>
        <v>1.901801259513314</v>
      </c>
      <c r="L15">
        <f t="shared" si="14"/>
        <v>0</v>
      </c>
      <c r="M15">
        <f t="shared" si="4"/>
        <v>0</v>
      </c>
      <c r="O15">
        <v>9</v>
      </c>
      <c r="P15">
        <f t="shared" si="15"/>
        <v>0.70346742249839178</v>
      </c>
      <c r="Q15" t="e">
        <f t="shared" si="16"/>
        <v>#DIV/0!</v>
      </c>
      <c r="R15">
        <f t="shared" si="17"/>
        <v>0</v>
      </c>
      <c r="S15" t="e">
        <f t="shared" si="18"/>
        <v>#DIV/0!</v>
      </c>
      <c r="T15" t="e">
        <f t="shared" si="19"/>
        <v>#DIV/0!</v>
      </c>
      <c r="U15" t="e">
        <f t="shared" si="20"/>
        <v>#DIV/0!</v>
      </c>
      <c r="W15">
        <v>9</v>
      </c>
      <c r="X15">
        <f t="shared" si="21"/>
        <v>0.67096978529090545</v>
      </c>
      <c r="Y15">
        <f t="shared" si="5"/>
        <v>0.76190103055371849</v>
      </c>
      <c r="Z15" s="5">
        <f t="shared" si="6"/>
        <v>11.934784390136333</v>
      </c>
      <c r="AA15" s="5">
        <f t="shared" si="7"/>
        <v>1.8974231468340945</v>
      </c>
      <c r="AB15">
        <f t="shared" si="22"/>
        <v>0.60000000000000009</v>
      </c>
      <c r="AC15">
        <f t="shared" si="8"/>
        <v>0.60000000000000009</v>
      </c>
      <c r="AD15" s="5">
        <f t="shared" si="9"/>
        <v>0.9146860601567105</v>
      </c>
      <c r="AF15">
        <v>9</v>
      </c>
      <c r="AG15">
        <f t="shared" si="23"/>
        <v>0.6953125</v>
      </c>
      <c r="AH15">
        <f t="shared" si="24"/>
        <v>0.70703125</v>
      </c>
      <c r="AI15">
        <f t="shared" si="25"/>
        <v>0.701171875</v>
      </c>
      <c r="AJ15">
        <f t="shared" si="10"/>
        <v>-1.5459038930221936E-2</v>
      </c>
      <c r="AK15">
        <f t="shared" si="11"/>
        <v>6.7872536115081705E-3</v>
      </c>
      <c r="AL15">
        <f t="shared" si="12"/>
        <v>-4.3617104424258923E-3</v>
      </c>
      <c r="AM15">
        <f t="shared" si="26"/>
        <v>0.83565459610027859</v>
      </c>
      <c r="AN15">
        <f t="shared" si="27"/>
        <v>5.859375E-3</v>
      </c>
    </row>
    <row r="16" spans="1:40" x14ac:dyDescent="0.3">
      <c r="A16">
        <f t="shared" si="0"/>
        <v>-0.89999999999999925</v>
      </c>
      <c r="B16">
        <f t="shared" si="1"/>
        <v>-1.6496031111569489</v>
      </c>
      <c r="H16">
        <v>10</v>
      </c>
      <c r="I16">
        <f t="shared" si="13"/>
        <v>0.70346742249839167</v>
      </c>
      <c r="J16">
        <f t="shared" si="2"/>
        <v>0</v>
      </c>
      <c r="K16">
        <f t="shared" si="3"/>
        <v>1.901801259513314</v>
      </c>
      <c r="L16">
        <f t="shared" si="14"/>
        <v>0</v>
      </c>
      <c r="M16">
        <f t="shared" si="4"/>
        <v>0</v>
      </c>
      <c r="O16">
        <v>10</v>
      </c>
      <c r="P16" t="e">
        <f t="shared" si="15"/>
        <v>#DIV/0!</v>
      </c>
      <c r="Q16" t="e">
        <f t="shared" si="16"/>
        <v>#DIV/0!</v>
      </c>
      <c r="R16" t="e">
        <f t="shared" si="17"/>
        <v>#DIV/0!</v>
      </c>
      <c r="S16" t="e">
        <f t="shared" si="18"/>
        <v>#DIV/0!</v>
      </c>
      <c r="T16" t="e">
        <f t="shared" si="19"/>
        <v>#DIV/0!</v>
      </c>
      <c r="U16" t="e">
        <f t="shared" si="20"/>
        <v>#DIV/0!</v>
      </c>
      <c r="W16">
        <v>10</v>
      </c>
      <c r="X16">
        <f t="shared" si="21"/>
        <v>0.76190103055371849</v>
      </c>
      <c r="Y16">
        <f t="shared" si="5"/>
        <v>0.6126494185506054</v>
      </c>
      <c r="Z16" s="5">
        <f t="shared" si="6"/>
        <v>24.361667127051192</v>
      </c>
      <c r="AA16" s="5">
        <f t="shared" si="7"/>
        <v>1.4167557184270563</v>
      </c>
      <c r="AB16">
        <f t="shared" si="22"/>
        <v>0.8</v>
      </c>
      <c r="AC16">
        <f t="shared" si="8"/>
        <v>0.8</v>
      </c>
      <c r="AD16" s="5">
        <f t="shared" si="9"/>
        <v>0.56166120514652695</v>
      </c>
      <c r="AF16">
        <v>10</v>
      </c>
      <c r="AG16">
        <f t="shared" si="23"/>
        <v>0.701171875</v>
      </c>
      <c r="AH16">
        <f t="shared" si="24"/>
        <v>0.70703125</v>
      </c>
      <c r="AI16">
        <f t="shared" si="25"/>
        <v>0.7041015625</v>
      </c>
      <c r="AJ16">
        <f t="shared" si="10"/>
        <v>-4.3617104424258923E-3</v>
      </c>
      <c r="AK16">
        <f t="shared" si="11"/>
        <v>6.7872536115081705E-3</v>
      </c>
      <c r="AL16">
        <f t="shared" si="12"/>
        <v>1.2063109071454581E-3</v>
      </c>
      <c r="AM16">
        <f t="shared" si="26"/>
        <v>0.41608876560332869</v>
      </c>
      <c r="AN16">
        <f t="shared" si="27"/>
        <v>2.9296875E-3</v>
      </c>
    </row>
    <row r="17" spans="1:40" x14ac:dyDescent="0.3">
      <c r="A17">
        <f t="shared" si="0"/>
        <v>-0.79999999999999927</v>
      </c>
      <c r="B17">
        <f t="shared" si="1"/>
        <v>-1.5855409284924673</v>
      </c>
      <c r="H17">
        <v>11</v>
      </c>
      <c r="I17">
        <f t="shared" si="13"/>
        <v>0.70346742249839167</v>
      </c>
      <c r="J17">
        <f t="shared" si="2"/>
        <v>0</v>
      </c>
      <c r="K17">
        <f t="shared" si="3"/>
        <v>1.901801259513314</v>
      </c>
      <c r="L17">
        <f t="shared" si="14"/>
        <v>0</v>
      </c>
      <c r="M17">
        <f t="shared" si="4"/>
        <v>0</v>
      </c>
      <c r="O17">
        <v>11</v>
      </c>
      <c r="P17" t="e">
        <f t="shared" si="15"/>
        <v>#DIV/0!</v>
      </c>
      <c r="Q17" t="e">
        <f t="shared" si="16"/>
        <v>#DIV/0!</v>
      </c>
      <c r="R17" t="e">
        <f t="shared" si="17"/>
        <v>#DIV/0!</v>
      </c>
      <c r="S17" t="e">
        <f t="shared" si="18"/>
        <v>#DIV/0!</v>
      </c>
      <c r="T17" t="e">
        <f t="shared" si="19"/>
        <v>#DIV/0!</v>
      </c>
      <c r="U17" t="e">
        <f t="shared" si="20"/>
        <v>#DIV/0!</v>
      </c>
      <c r="W17">
        <v>11</v>
      </c>
      <c r="X17">
        <f t="shared" si="21"/>
        <v>0.6126494185506054</v>
      </c>
      <c r="Y17">
        <f t="shared" si="5"/>
        <v>0.88454047961901716</v>
      </c>
      <c r="Z17" s="5">
        <f t="shared" si="6"/>
        <v>30.738114007571333</v>
      </c>
      <c r="AA17" s="5">
        <f t="shared" si="7"/>
        <v>2.3283359894746321</v>
      </c>
      <c r="AB17">
        <f t="shared" si="22"/>
        <v>1</v>
      </c>
      <c r="AC17">
        <f t="shared" si="8"/>
        <v>1</v>
      </c>
      <c r="AD17" s="5">
        <f t="shared" si="9"/>
        <v>0.36787944117144233</v>
      </c>
      <c r="AF17">
        <v>11</v>
      </c>
      <c r="AG17">
        <f t="shared" si="23"/>
        <v>0.701171875</v>
      </c>
      <c r="AH17">
        <f t="shared" si="24"/>
        <v>0.7041015625</v>
      </c>
      <c r="AI17">
        <f t="shared" si="25"/>
        <v>0.70263671875</v>
      </c>
      <c r="AJ17">
        <f t="shared" si="10"/>
        <v>-4.3617104424258923E-3</v>
      </c>
      <c r="AK17">
        <f t="shared" si="11"/>
        <v>1.2063109071454581E-3</v>
      </c>
      <c r="AL17">
        <f t="shared" si="12"/>
        <v>-1.5793141594616644E-3</v>
      </c>
      <c r="AM17">
        <f t="shared" si="26"/>
        <v>0.20847810979847115</v>
      </c>
      <c r="AN17">
        <f t="shared" si="27"/>
        <v>1.46484375E-3</v>
      </c>
    </row>
    <row r="18" spans="1:40" x14ac:dyDescent="0.3">
      <c r="A18">
        <f t="shared" si="0"/>
        <v>-0.69999999999999929</v>
      </c>
      <c r="B18">
        <f t="shared" si="1"/>
        <v>-1.5237527074704764</v>
      </c>
      <c r="H18">
        <v>12</v>
      </c>
      <c r="I18">
        <f t="shared" si="13"/>
        <v>0.70346742249839167</v>
      </c>
      <c r="J18">
        <f t="shared" si="2"/>
        <v>0</v>
      </c>
      <c r="K18">
        <f t="shared" si="3"/>
        <v>1.901801259513314</v>
      </c>
      <c r="L18">
        <f t="shared" si="14"/>
        <v>0</v>
      </c>
      <c r="M18">
        <f t="shared" si="4"/>
        <v>0</v>
      </c>
      <c r="O18">
        <v>12</v>
      </c>
      <c r="P18" t="e">
        <f t="shared" si="15"/>
        <v>#DIV/0!</v>
      </c>
      <c r="Q18" t="e">
        <f t="shared" si="16"/>
        <v>#DIV/0!</v>
      </c>
      <c r="R18" t="e">
        <f t="shared" si="17"/>
        <v>#DIV/0!</v>
      </c>
      <c r="S18" t="e">
        <f t="shared" si="18"/>
        <v>#DIV/0!</v>
      </c>
      <c r="T18" t="e">
        <f t="shared" si="19"/>
        <v>#DIV/0!</v>
      </c>
      <c r="U18" t="e">
        <f t="shared" si="20"/>
        <v>#DIV/0!</v>
      </c>
      <c r="W18">
        <v>12</v>
      </c>
      <c r="X18">
        <f t="shared" si="21"/>
        <v>0.88454047961901716</v>
      </c>
      <c r="Y18">
        <f t="shared" si="5"/>
        <v>0.46680042004619399</v>
      </c>
      <c r="Z18" s="5">
        <f t="shared" si="6"/>
        <v>89.490077907702855</v>
      </c>
      <c r="AA18" s="5">
        <f t="shared" si="7"/>
        <v>0.99453253723234125</v>
      </c>
      <c r="AB18">
        <f t="shared" si="22"/>
        <v>1.2</v>
      </c>
      <c r="AC18">
        <f t="shared" si="8"/>
        <v>1.2</v>
      </c>
      <c r="AD18" s="5">
        <f t="shared" si="9"/>
        <v>0.25099517659350179</v>
      </c>
      <c r="AF18">
        <v>12</v>
      </c>
      <c r="AG18">
        <f t="shared" si="23"/>
        <v>0.70263671875</v>
      </c>
      <c r="AH18">
        <f t="shared" si="24"/>
        <v>0.7041015625</v>
      </c>
      <c r="AI18">
        <f t="shared" si="25"/>
        <v>0.703369140625</v>
      </c>
      <c r="AJ18">
        <f t="shared" si="10"/>
        <v>-1.5793141594616644E-3</v>
      </c>
      <c r="AK18">
        <f t="shared" si="11"/>
        <v>1.2063109071454581E-3</v>
      </c>
      <c r="AL18">
        <f t="shared" si="12"/>
        <v>-1.8690532139342686E-4</v>
      </c>
      <c r="AM18">
        <f t="shared" si="26"/>
        <v>0.10413051023950018</v>
      </c>
      <c r="AN18">
        <f t="shared" si="27"/>
        <v>7.32421875E-4</v>
      </c>
    </row>
    <row r="19" spans="1:40" x14ac:dyDescent="0.3">
      <c r="A19">
        <f t="shared" si="0"/>
        <v>-0.59999999999999931</v>
      </c>
      <c r="B19">
        <f t="shared" si="1"/>
        <v>-1.4621188003905086</v>
      </c>
      <c r="H19">
        <v>13</v>
      </c>
      <c r="I19">
        <f t="shared" si="13"/>
        <v>0.70346742249839167</v>
      </c>
      <c r="J19">
        <f t="shared" si="2"/>
        <v>0</v>
      </c>
      <c r="K19">
        <f t="shared" si="3"/>
        <v>1.901801259513314</v>
      </c>
      <c r="L19">
        <f t="shared" si="14"/>
        <v>0</v>
      </c>
      <c r="M19">
        <f t="shared" si="4"/>
        <v>0</v>
      </c>
      <c r="O19">
        <v>13</v>
      </c>
      <c r="P19" t="e">
        <f t="shared" si="15"/>
        <v>#DIV/0!</v>
      </c>
      <c r="Q19" t="e">
        <f t="shared" si="16"/>
        <v>#DIV/0!</v>
      </c>
      <c r="R19" t="e">
        <f t="shared" si="17"/>
        <v>#DIV/0!</v>
      </c>
      <c r="S19" t="e">
        <f t="shared" si="18"/>
        <v>#DIV/0!</v>
      </c>
      <c r="T19" t="e">
        <f t="shared" si="19"/>
        <v>#DIV/0!</v>
      </c>
      <c r="U19" t="e">
        <f t="shared" si="20"/>
        <v>#DIV/0!</v>
      </c>
      <c r="W19">
        <v>13</v>
      </c>
      <c r="X19">
        <f t="shared" si="21"/>
        <v>0.46680042004619399</v>
      </c>
      <c r="Y19">
        <f t="shared" si="5"/>
        <v>1.3431976250913393</v>
      </c>
      <c r="Z19" s="5">
        <f t="shared" si="6"/>
        <v>65.24707821647236</v>
      </c>
      <c r="AA19" s="5">
        <f t="shared" si="7"/>
        <v>4.2206535300333661</v>
      </c>
      <c r="AB19">
        <f t="shared" si="22"/>
        <v>1.4</v>
      </c>
      <c r="AC19">
        <f t="shared" si="8"/>
        <v>1.4</v>
      </c>
      <c r="AD19" s="5">
        <f t="shared" si="9"/>
        <v>0.17614068852971893</v>
      </c>
      <c r="AF19">
        <v>13</v>
      </c>
      <c r="AG19">
        <f t="shared" si="23"/>
        <v>0.703369140625</v>
      </c>
      <c r="AH19">
        <f t="shared" si="24"/>
        <v>0.7041015625</v>
      </c>
      <c r="AI19">
        <f t="shared" si="25"/>
        <v>0.7037353515625</v>
      </c>
      <c r="AJ19">
        <f t="shared" si="10"/>
        <v>-1.8690532139342686E-4</v>
      </c>
      <c r="AK19">
        <f t="shared" si="11"/>
        <v>1.2063109071454581E-3</v>
      </c>
      <c r="AL19">
        <f t="shared" si="12"/>
        <v>5.0960185691500959E-4</v>
      </c>
      <c r="AM19">
        <f t="shared" si="26"/>
        <v>5.2038161318300087E-2</v>
      </c>
      <c r="AN19">
        <f t="shared" si="27"/>
        <v>3.662109375E-4</v>
      </c>
    </row>
    <row r="20" spans="1:40" x14ac:dyDescent="0.3">
      <c r="A20">
        <f t="shared" si="0"/>
        <v>-0.49999999999999933</v>
      </c>
      <c r="B20">
        <f t="shared" si="1"/>
        <v>-1.3987212707001278</v>
      </c>
      <c r="H20">
        <v>14</v>
      </c>
      <c r="I20">
        <f t="shared" si="13"/>
        <v>0.70346742249839167</v>
      </c>
      <c r="J20">
        <f t="shared" si="2"/>
        <v>0</v>
      </c>
      <c r="K20">
        <f t="shared" si="3"/>
        <v>1.901801259513314</v>
      </c>
      <c r="L20">
        <f t="shared" si="14"/>
        <v>0</v>
      </c>
      <c r="M20">
        <f t="shared" si="4"/>
        <v>0</v>
      </c>
      <c r="O20">
        <v>14</v>
      </c>
      <c r="P20" t="e">
        <f t="shared" si="15"/>
        <v>#DIV/0!</v>
      </c>
      <c r="Q20" t="e">
        <f t="shared" si="16"/>
        <v>#DIV/0!</v>
      </c>
      <c r="R20" t="e">
        <f t="shared" si="17"/>
        <v>#DIV/0!</v>
      </c>
      <c r="S20" t="e">
        <f t="shared" si="18"/>
        <v>#DIV/0!</v>
      </c>
      <c r="T20" t="e">
        <f t="shared" si="19"/>
        <v>#DIV/0!</v>
      </c>
      <c r="U20" t="e">
        <f t="shared" si="20"/>
        <v>#DIV/0!</v>
      </c>
      <c r="W20">
        <v>14</v>
      </c>
      <c r="X20">
        <f t="shared" si="21"/>
        <v>1.3431976250913393</v>
      </c>
      <c r="Y20">
        <f t="shared" si="5"/>
        <v>0.19431967169951778</v>
      </c>
      <c r="Z20" s="5">
        <f t="shared" si="6"/>
        <v>591.23090490208597</v>
      </c>
      <c r="AA20" s="5">
        <f t="shared" si="7"/>
        <v>0.33898912917142465</v>
      </c>
      <c r="AB20">
        <f t="shared" si="22"/>
        <v>1.5999999999999999</v>
      </c>
      <c r="AC20">
        <f t="shared" si="8"/>
        <v>1.5999999999999999</v>
      </c>
      <c r="AD20" s="5">
        <f t="shared" si="9"/>
        <v>0.12618532374665967</v>
      </c>
      <c r="AF20">
        <v>14</v>
      </c>
      <c r="AG20">
        <f t="shared" si="23"/>
        <v>0.703369140625</v>
      </c>
      <c r="AH20">
        <f t="shared" si="24"/>
        <v>0.7037353515625</v>
      </c>
      <c r="AI20">
        <f t="shared" si="25"/>
        <v>0.70355224609375</v>
      </c>
      <c r="AJ20">
        <f t="shared" si="10"/>
        <v>-1.8690532139342686E-4</v>
      </c>
      <c r="AK20">
        <f t="shared" si="11"/>
        <v>5.0960185691500959E-4</v>
      </c>
      <c r="AL20">
        <f t="shared" si="12"/>
        <v>1.61323035289207E-4</v>
      </c>
      <c r="AM20">
        <f t="shared" si="26"/>
        <v>2.6025852346664356E-2</v>
      </c>
      <c r="AN20">
        <f t="shared" si="27"/>
        <v>1.8310546875E-4</v>
      </c>
    </row>
    <row r="21" spans="1:40" x14ac:dyDescent="0.3">
      <c r="A21">
        <f t="shared" si="0"/>
        <v>-0.39999999999999936</v>
      </c>
      <c r="B21">
        <f t="shared" si="1"/>
        <v>-1.33182469764127</v>
      </c>
      <c r="H21">
        <v>15</v>
      </c>
      <c r="I21">
        <f t="shared" si="13"/>
        <v>0.70346742249839167</v>
      </c>
      <c r="J21">
        <f t="shared" si="2"/>
        <v>0</v>
      </c>
      <c r="K21">
        <f t="shared" si="3"/>
        <v>1.901801259513314</v>
      </c>
      <c r="L21">
        <f t="shared" si="14"/>
        <v>0</v>
      </c>
      <c r="M21">
        <f t="shared" si="4"/>
        <v>0</v>
      </c>
      <c r="O21">
        <v>15</v>
      </c>
      <c r="P21" t="e">
        <f t="shared" si="15"/>
        <v>#DIV/0!</v>
      </c>
      <c r="Q21" t="e">
        <f t="shared" si="16"/>
        <v>#DIV/0!</v>
      </c>
      <c r="R21" t="e">
        <f t="shared" si="17"/>
        <v>#DIV/0!</v>
      </c>
      <c r="S21" t="e">
        <f t="shared" si="18"/>
        <v>#DIV/0!</v>
      </c>
      <c r="T21" t="e">
        <f t="shared" si="19"/>
        <v>#DIV/0!</v>
      </c>
      <c r="U21" t="e">
        <f t="shared" si="20"/>
        <v>#DIV/0!</v>
      </c>
      <c r="W21">
        <v>15</v>
      </c>
      <c r="X21">
        <f t="shared" si="21"/>
        <v>0.19431967169951778</v>
      </c>
      <c r="Y21">
        <f t="shared" si="5"/>
        <v>4.2373200768888291</v>
      </c>
      <c r="Z21" s="5">
        <f t="shared" si="6"/>
        <v>95.414090317147043</v>
      </c>
      <c r="AA21" s="5">
        <f t="shared" si="7"/>
        <v>26.043244509702411</v>
      </c>
      <c r="AB21">
        <f t="shared" si="22"/>
        <v>1.7999999999999998</v>
      </c>
      <c r="AC21">
        <f t="shared" si="8"/>
        <v>1.7999999999999998</v>
      </c>
      <c r="AD21" s="5">
        <f t="shared" si="9"/>
        <v>9.1832715678659207E-2</v>
      </c>
      <c r="AF21">
        <v>15</v>
      </c>
      <c r="AG21">
        <f t="shared" si="23"/>
        <v>0.703369140625</v>
      </c>
      <c r="AH21">
        <f t="shared" si="24"/>
        <v>0.70355224609375</v>
      </c>
      <c r="AI21">
        <f t="shared" si="25"/>
        <v>0.703460693359375</v>
      </c>
      <c r="AJ21">
        <f t="shared" si="10"/>
        <v>-1.8690532139342686E-4</v>
      </c>
      <c r="AK21">
        <f t="shared" si="11"/>
        <v>1.61323035289207E-4</v>
      </c>
      <c r="AL21">
        <f t="shared" si="12"/>
        <v>-1.2797450980095437E-5</v>
      </c>
      <c r="AM21">
        <f t="shared" si="26"/>
        <v>1.3014619756192791E-2</v>
      </c>
      <c r="AN21">
        <f t="shared" si="27"/>
        <v>9.1552734375E-5</v>
      </c>
    </row>
    <row r="22" spans="1:40" x14ac:dyDescent="0.3">
      <c r="A22">
        <f t="shared" si="0"/>
        <v>-0.29999999999999938</v>
      </c>
      <c r="B22">
        <f t="shared" si="1"/>
        <v>-1.2598588075760027</v>
      </c>
      <c r="H22">
        <v>16</v>
      </c>
      <c r="I22">
        <f t="shared" si="13"/>
        <v>0.70346742249839167</v>
      </c>
      <c r="J22">
        <f t="shared" si="2"/>
        <v>0</v>
      </c>
      <c r="K22">
        <f t="shared" si="3"/>
        <v>1.901801259513314</v>
      </c>
      <c r="L22">
        <f t="shared" si="14"/>
        <v>0</v>
      </c>
      <c r="M22">
        <f t="shared" si="4"/>
        <v>0</v>
      </c>
      <c r="O22">
        <v>16</v>
      </c>
      <c r="P22" t="e">
        <f t="shared" si="15"/>
        <v>#DIV/0!</v>
      </c>
      <c r="Q22" t="e">
        <f t="shared" si="16"/>
        <v>#DIV/0!</v>
      </c>
      <c r="R22" t="e">
        <f t="shared" si="17"/>
        <v>#DIV/0!</v>
      </c>
      <c r="S22" t="e">
        <f t="shared" si="18"/>
        <v>#DIV/0!</v>
      </c>
      <c r="T22" t="e">
        <f t="shared" si="19"/>
        <v>#DIV/0!</v>
      </c>
      <c r="U22" t="e">
        <f t="shared" si="20"/>
        <v>#DIV/0!</v>
      </c>
      <c r="W22">
        <v>16</v>
      </c>
      <c r="X22">
        <f t="shared" si="21"/>
        <v>4.2373200768888291</v>
      </c>
      <c r="Y22">
        <f t="shared" si="5"/>
        <v>3.4092904484807011E-3</v>
      </c>
      <c r="Z22" s="5">
        <f t="shared" si="6"/>
        <v>124187.44751791759</v>
      </c>
      <c r="AA22" s="5">
        <f t="shared" si="7"/>
        <v>4.2138769292319753E-3</v>
      </c>
      <c r="AB22">
        <f t="shared" si="22"/>
        <v>1.9999999999999998</v>
      </c>
      <c r="AC22">
        <f t="shared" si="8"/>
        <v>1.9999999999999998</v>
      </c>
      <c r="AD22" s="5">
        <f t="shared" si="9"/>
        <v>6.7667641618306379E-2</v>
      </c>
      <c r="AF22">
        <v>16</v>
      </c>
      <c r="AG22">
        <f t="shared" si="23"/>
        <v>0.703460693359375</v>
      </c>
      <c r="AH22">
        <f t="shared" si="24"/>
        <v>0.70355224609375</v>
      </c>
      <c r="AI22">
        <f t="shared" si="25"/>
        <v>0.7035064697265625</v>
      </c>
      <c r="AJ22">
        <f t="shared" si="10"/>
        <v>-1.2797450980095437E-5</v>
      </c>
      <c r="AK22">
        <f t="shared" si="11"/>
        <v>1.61323035289207E-4</v>
      </c>
      <c r="AL22">
        <f t="shared" si="12"/>
        <v>7.4261215148807569E-5</v>
      </c>
      <c r="AM22">
        <f t="shared" si="26"/>
        <v>6.5068864548313635E-3</v>
      </c>
      <c r="AN22">
        <f t="shared" si="27"/>
        <v>4.57763671875E-5</v>
      </c>
    </row>
    <row r="23" spans="1:40" x14ac:dyDescent="0.3">
      <c r="A23">
        <f t="shared" si="0"/>
        <v>-0.19999999999999937</v>
      </c>
      <c r="B23">
        <f t="shared" si="1"/>
        <v>-1.1814027581601692</v>
      </c>
      <c r="H23">
        <v>17</v>
      </c>
      <c r="I23">
        <f t="shared" si="13"/>
        <v>0.70346742249839167</v>
      </c>
      <c r="J23">
        <f t="shared" si="2"/>
        <v>0</v>
      </c>
      <c r="K23">
        <f t="shared" si="3"/>
        <v>1.901801259513314</v>
      </c>
      <c r="L23">
        <f t="shared" si="14"/>
        <v>0</v>
      </c>
      <c r="M23">
        <f t="shared" si="4"/>
        <v>0</v>
      </c>
      <c r="O23">
        <v>17</v>
      </c>
      <c r="P23" t="e">
        <f t="shared" si="15"/>
        <v>#DIV/0!</v>
      </c>
      <c r="Q23" t="e">
        <f t="shared" si="16"/>
        <v>#DIV/0!</v>
      </c>
      <c r="R23" t="e">
        <f t="shared" si="17"/>
        <v>#DIV/0!</v>
      </c>
      <c r="S23" t="e">
        <f t="shared" si="18"/>
        <v>#DIV/0!</v>
      </c>
      <c r="T23" t="e">
        <f t="shared" si="19"/>
        <v>#DIV/0!</v>
      </c>
      <c r="U23" t="e">
        <f t="shared" si="20"/>
        <v>#DIV/0!</v>
      </c>
      <c r="W23">
        <v>17</v>
      </c>
      <c r="X23">
        <f t="shared" si="21"/>
        <v>3.4092904484807011E-3</v>
      </c>
      <c r="Y23">
        <f t="shared" si="5"/>
        <v>292.31786779194232</v>
      </c>
      <c r="Z23" s="5">
        <f t="shared" si="6"/>
        <v>99.998833704393704</v>
      </c>
      <c r="AA23" s="5">
        <f t="shared" si="7"/>
        <v>86033.87383355292</v>
      </c>
      <c r="AB23">
        <f t="shared" si="22"/>
        <v>2.1999999999999997</v>
      </c>
      <c r="AC23">
        <f t="shared" si="8"/>
        <v>2.1999999999999997</v>
      </c>
      <c r="AD23" s="5">
        <f t="shared" si="9"/>
        <v>5.036507198287906E-2</v>
      </c>
      <c r="AF23">
        <v>17</v>
      </c>
      <c r="AG23">
        <f t="shared" si="23"/>
        <v>0.703460693359375</v>
      </c>
      <c r="AH23">
        <f t="shared" si="24"/>
        <v>0.7035064697265625</v>
      </c>
      <c r="AI23">
        <f t="shared" si="25"/>
        <v>0.70348358154296875</v>
      </c>
      <c r="AJ23">
        <f t="shared" si="10"/>
        <v>-1.2797450980095437E-5</v>
      </c>
      <c r="AK23">
        <f t="shared" si="11"/>
        <v>7.4261215148807569E-5</v>
      </c>
      <c r="AL23">
        <f t="shared" si="12"/>
        <v>3.073148783588886E-5</v>
      </c>
      <c r="AM23">
        <f t="shared" si="26"/>
        <v>3.2535490797878683E-3</v>
      </c>
      <c r="AN23">
        <f t="shared" si="27"/>
        <v>2.288818359375E-5</v>
      </c>
    </row>
    <row r="24" spans="1:40" x14ac:dyDescent="0.3">
      <c r="A24">
        <f t="shared" si="0"/>
        <v>-9.9999999999999367E-2</v>
      </c>
      <c r="B24">
        <f t="shared" si="1"/>
        <v>-1.095170918075647</v>
      </c>
      <c r="H24">
        <v>18</v>
      </c>
      <c r="I24">
        <f t="shared" si="13"/>
        <v>0.70346742249839167</v>
      </c>
      <c r="J24">
        <f t="shared" si="2"/>
        <v>0</v>
      </c>
      <c r="K24">
        <f t="shared" si="3"/>
        <v>1.901801259513314</v>
      </c>
      <c r="L24">
        <f t="shared" si="14"/>
        <v>0</v>
      </c>
      <c r="M24">
        <f t="shared" si="4"/>
        <v>0</v>
      </c>
      <c r="O24">
        <v>18</v>
      </c>
      <c r="P24" t="e">
        <f t="shared" si="15"/>
        <v>#DIV/0!</v>
      </c>
      <c r="Q24" t="e">
        <f t="shared" si="16"/>
        <v>#DIV/0!</v>
      </c>
      <c r="R24" t="e">
        <f t="shared" si="17"/>
        <v>#DIV/0!</v>
      </c>
      <c r="S24" t="e">
        <f t="shared" si="18"/>
        <v>#DIV/0!</v>
      </c>
      <c r="T24" t="e">
        <f t="shared" si="19"/>
        <v>#DIV/0!</v>
      </c>
      <c r="U24" t="e">
        <f t="shared" si="20"/>
        <v>#DIV/0!</v>
      </c>
      <c r="W24">
        <v>18</v>
      </c>
      <c r="X24">
        <f t="shared" si="21"/>
        <v>292.31786779194232</v>
      </c>
      <c r="Y24">
        <f t="shared" si="5"/>
        <v>3.8203899507984696E-130</v>
      </c>
      <c r="Z24" s="5">
        <f t="shared" si="6"/>
        <v>7.6515191264924999E+133</v>
      </c>
      <c r="AA24" s="5">
        <f t="shared" si="7"/>
        <v>3.833459250939635E-130</v>
      </c>
      <c r="AB24">
        <f t="shared" si="22"/>
        <v>2.4</v>
      </c>
      <c r="AC24">
        <f t="shared" si="8"/>
        <v>2.4</v>
      </c>
      <c r="AD24" s="5">
        <f t="shared" si="9"/>
        <v>3.7799147203921885E-2</v>
      </c>
      <c r="AF24">
        <v>18</v>
      </c>
      <c r="AG24">
        <f t="shared" si="23"/>
        <v>0.703460693359375</v>
      </c>
      <c r="AH24">
        <f t="shared" si="24"/>
        <v>0.70348358154296875</v>
      </c>
      <c r="AI24">
        <f t="shared" si="25"/>
        <v>0.70347213745117188</v>
      </c>
      <c r="AJ24">
        <f t="shared" si="10"/>
        <v>-1.2797450980095437E-5</v>
      </c>
      <c r="AK24">
        <f t="shared" si="11"/>
        <v>3.073148783588886E-5</v>
      </c>
      <c r="AL24">
        <f t="shared" si="12"/>
        <v>8.9669198661268545E-6</v>
      </c>
      <c r="AM24">
        <f t="shared" si="26"/>
        <v>1.6268010042784866E-3</v>
      </c>
      <c r="AN24">
        <f t="shared" si="27"/>
        <v>1.1444091796875E-5</v>
      </c>
    </row>
    <row r="25" spans="1:40" x14ac:dyDescent="0.3">
      <c r="A25">
        <f t="shared" si="0"/>
        <v>6.3837823915946501E-16</v>
      </c>
      <c r="B25">
        <f t="shared" si="1"/>
        <v>-0.99999999999999933</v>
      </c>
      <c r="H25">
        <v>19</v>
      </c>
      <c r="I25">
        <f t="shared" si="13"/>
        <v>0.70346742249839167</v>
      </c>
      <c r="J25">
        <f t="shared" si="2"/>
        <v>0</v>
      </c>
      <c r="K25">
        <f t="shared" si="3"/>
        <v>1.901801259513314</v>
      </c>
      <c r="L25">
        <f t="shared" si="14"/>
        <v>0</v>
      </c>
      <c r="M25">
        <f t="shared" si="4"/>
        <v>0</v>
      </c>
      <c r="O25">
        <v>19</v>
      </c>
      <c r="P25" t="e">
        <f t="shared" si="15"/>
        <v>#DIV/0!</v>
      </c>
      <c r="Q25" t="e">
        <f t="shared" si="16"/>
        <v>#DIV/0!</v>
      </c>
      <c r="R25" t="e">
        <f t="shared" si="17"/>
        <v>#DIV/0!</v>
      </c>
      <c r="S25" t="e">
        <f t="shared" si="18"/>
        <v>#DIV/0!</v>
      </c>
      <c r="T25" t="e">
        <f t="shared" si="19"/>
        <v>#DIV/0!</v>
      </c>
      <c r="U25" t="e">
        <f t="shared" si="20"/>
        <v>#DIV/0!</v>
      </c>
      <c r="W25">
        <v>19</v>
      </c>
      <c r="X25">
        <f t="shared" si="21"/>
        <v>3.8203899507984696E-130</v>
      </c>
      <c r="Y25">
        <f t="shared" si="5"/>
        <v>2.6175338457033629E+129</v>
      </c>
      <c r="Z25" s="5">
        <f t="shared" si="6"/>
        <v>100</v>
      </c>
      <c r="AA25" s="5">
        <f t="shared" si="7"/>
        <v>6.8514834334026373E+258</v>
      </c>
      <c r="AB25">
        <f t="shared" si="22"/>
        <v>2.6</v>
      </c>
      <c r="AC25">
        <f t="shared" si="8"/>
        <v>2.6</v>
      </c>
      <c r="AD25" s="5">
        <f t="shared" si="9"/>
        <v>2.8566760851666876E-2</v>
      </c>
      <c r="AF25">
        <v>19</v>
      </c>
      <c r="AG25">
        <f t="shared" si="23"/>
        <v>0.703460693359375</v>
      </c>
      <c r="AH25">
        <f t="shared" si="24"/>
        <v>0.70347213745117188</v>
      </c>
      <c r="AI25">
        <f t="shared" si="25"/>
        <v>0.70346641540527344</v>
      </c>
      <c r="AJ25">
        <f t="shared" si="10"/>
        <v>-1.2797450980095437E-5</v>
      </c>
      <c r="AK25">
        <f t="shared" si="11"/>
        <v>8.9669198661268545E-6</v>
      </c>
      <c r="AL25">
        <f t="shared" si="12"/>
        <v>-1.9152901973851222E-6</v>
      </c>
      <c r="AM25">
        <f t="shared" si="26"/>
        <v>8.1340711839682884E-4</v>
      </c>
      <c r="AN25">
        <f t="shared" si="27"/>
        <v>5.7220458984375E-6</v>
      </c>
    </row>
    <row r="26" spans="1:40" x14ac:dyDescent="0.3">
      <c r="A26">
        <f t="shared" si="0"/>
        <v>0.10000000000000064</v>
      </c>
      <c r="B26">
        <f t="shared" si="1"/>
        <v>-0.89483741803595884</v>
      </c>
      <c r="H26">
        <v>20</v>
      </c>
      <c r="I26">
        <f t="shared" si="13"/>
        <v>0.70346742249839167</v>
      </c>
      <c r="J26">
        <f t="shared" si="2"/>
        <v>0</v>
      </c>
      <c r="K26">
        <f t="shared" si="3"/>
        <v>1.901801259513314</v>
      </c>
      <c r="L26">
        <f t="shared" si="14"/>
        <v>0</v>
      </c>
      <c r="M26">
        <f t="shared" si="4"/>
        <v>0</v>
      </c>
      <c r="O26">
        <v>20</v>
      </c>
      <c r="P26" t="e">
        <f t="shared" si="15"/>
        <v>#DIV/0!</v>
      </c>
      <c r="Q26" t="e">
        <f t="shared" si="16"/>
        <v>#DIV/0!</v>
      </c>
      <c r="R26" t="e">
        <f t="shared" si="17"/>
        <v>#DIV/0!</v>
      </c>
      <c r="S26" t="e">
        <f t="shared" si="18"/>
        <v>#DIV/0!</v>
      </c>
      <c r="T26" t="e">
        <f t="shared" si="19"/>
        <v>#DIV/0!</v>
      </c>
      <c r="U26" t="e">
        <f t="shared" si="20"/>
        <v>#DIV/0!</v>
      </c>
      <c r="W26">
        <v>20</v>
      </c>
      <c r="X26">
        <f t="shared" si="21"/>
        <v>2.6175338457033629E+129</v>
      </c>
      <c r="Y26">
        <f t="shared" si="5"/>
        <v>0</v>
      </c>
      <c r="Z26" s="5" t="e">
        <f t="shared" si="6"/>
        <v>#DIV/0!</v>
      </c>
      <c r="AA26" s="5">
        <f t="shared" si="7"/>
        <v>0</v>
      </c>
      <c r="AB26">
        <f t="shared" si="22"/>
        <v>2.8000000000000003</v>
      </c>
      <c r="AC26">
        <f t="shared" si="8"/>
        <v>2.8000000000000003</v>
      </c>
      <c r="AD26" s="5">
        <f t="shared" si="9"/>
        <v>2.1717879509006409E-2</v>
      </c>
      <c r="AF26">
        <v>20</v>
      </c>
      <c r="AG26">
        <f t="shared" si="23"/>
        <v>0.70346641540527344</v>
      </c>
      <c r="AH26">
        <f t="shared" si="24"/>
        <v>0.70347213745117188</v>
      </c>
      <c r="AI26">
        <f t="shared" si="25"/>
        <v>0.70346927642822266</v>
      </c>
      <c r="AJ26">
        <f t="shared" si="10"/>
        <v>-1.9152901973851222E-6</v>
      </c>
      <c r="AK26">
        <f t="shared" si="11"/>
        <v>8.9669198661268545E-6</v>
      </c>
      <c r="AL26">
        <f t="shared" si="12"/>
        <v>3.5258086742429029E-6</v>
      </c>
      <c r="AM26">
        <f t="shared" si="26"/>
        <v>4.0670190512729092E-4</v>
      </c>
      <c r="AN26">
        <f t="shared" si="27"/>
        <v>2.86102294921875E-6</v>
      </c>
    </row>
    <row r="27" spans="1:40" x14ac:dyDescent="0.3">
      <c r="A27">
        <f t="shared" si="0"/>
        <v>0.20000000000000065</v>
      </c>
      <c r="B27">
        <f t="shared" si="1"/>
        <v>-0.77873075307798112</v>
      </c>
      <c r="H27">
        <v>21</v>
      </c>
      <c r="I27">
        <f t="shared" si="13"/>
        <v>0.70346742249839167</v>
      </c>
      <c r="J27">
        <f t="shared" si="2"/>
        <v>0</v>
      </c>
      <c r="K27">
        <f t="shared" si="3"/>
        <v>1.901801259513314</v>
      </c>
      <c r="L27">
        <f t="shared" si="14"/>
        <v>0</v>
      </c>
      <c r="M27">
        <f t="shared" si="4"/>
        <v>0</v>
      </c>
      <c r="O27">
        <v>21</v>
      </c>
      <c r="P27" t="e">
        <f t="shared" si="15"/>
        <v>#DIV/0!</v>
      </c>
      <c r="Q27" t="e">
        <f t="shared" si="16"/>
        <v>#DIV/0!</v>
      </c>
      <c r="R27" t="e">
        <f t="shared" si="17"/>
        <v>#DIV/0!</v>
      </c>
      <c r="S27" t="e">
        <f t="shared" si="18"/>
        <v>#DIV/0!</v>
      </c>
      <c r="T27" t="e">
        <f t="shared" si="19"/>
        <v>#DIV/0!</v>
      </c>
      <c r="U27" t="e">
        <f t="shared" si="20"/>
        <v>#DIV/0!</v>
      </c>
      <c r="W27">
        <v>21</v>
      </c>
      <c r="X27">
        <f t="shared" si="21"/>
        <v>0</v>
      </c>
      <c r="Y27" t="e">
        <f t="shared" si="5"/>
        <v>#DIV/0!</v>
      </c>
      <c r="Z27" s="5" t="e">
        <f t="shared" si="6"/>
        <v>#DIV/0!</v>
      </c>
      <c r="AA27" s="5" t="e">
        <f t="shared" si="7"/>
        <v>#DIV/0!</v>
      </c>
      <c r="AB27">
        <f t="shared" si="22"/>
        <v>3.0000000000000004</v>
      </c>
      <c r="AC27">
        <f t="shared" si="8"/>
        <v>3.0000000000000004</v>
      </c>
      <c r="AD27" s="5">
        <f t="shared" si="9"/>
        <v>1.6595689455954639E-2</v>
      </c>
      <c r="AF27">
        <v>21</v>
      </c>
      <c r="AG27">
        <f t="shared" si="23"/>
        <v>0.70346641540527344</v>
      </c>
      <c r="AH27">
        <f t="shared" si="24"/>
        <v>0.70346927642822266</v>
      </c>
      <c r="AI27">
        <f t="shared" si="25"/>
        <v>0.70346784591674805</v>
      </c>
      <c r="AJ27">
        <f t="shared" si="10"/>
        <v>-1.9152901973851222E-6</v>
      </c>
      <c r="AK27">
        <f t="shared" si="11"/>
        <v>3.5258086742429029E-6</v>
      </c>
      <c r="AL27">
        <f t="shared" si="12"/>
        <v>8.0525769841077732E-7</v>
      </c>
      <c r="AM27">
        <f t="shared" si="26"/>
        <v>2.0335136608058544E-4</v>
      </c>
      <c r="AN27">
        <f t="shared" si="27"/>
        <v>1.430511474609375E-6</v>
      </c>
    </row>
    <row r="28" spans="1:40" x14ac:dyDescent="0.3">
      <c r="A28">
        <f t="shared" si="0"/>
        <v>0.30000000000000066</v>
      </c>
      <c r="B28">
        <f t="shared" si="1"/>
        <v>-0.65081822068171702</v>
      </c>
      <c r="H28">
        <v>22</v>
      </c>
      <c r="I28">
        <f t="shared" si="13"/>
        <v>0.70346742249839167</v>
      </c>
      <c r="J28">
        <f t="shared" si="2"/>
        <v>0</v>
      </c>
      <c r="K28">
        <f t="shared" si="3"/>
        <v>1.901801259513314</v>
      </c>
      <c r="L28">
        <f t="shared" si="14"/>
        <v>0</v>
      </c>
      <c r="M28">
        <f t="shared" si="4"/>
        <v>0</v>
      </c>
      <c r="O28">
        <v>22</v>
      </c>
      <c r="P28" t="e">
        <f t="shared" si="15"/>
        <v>#DIV/0!</v>
      </c>
      <c r="Q28" t="e">
        <f t="shared" si="16"/>
        <v>#DIV/0!</v>
      </c>
      <c r="R28" t="e">
        <f t="shared" si="17"/>
        <v>#DIV/0!</v>
      </c>
      <c r="S28" t="e">
        <f t="shared" si="18"/>
        <v>#DIV/0!</v>
      </c>
      <c r="T28" t="e">
        <f t="shared" si="19"/>
        <v>#DIV/0!</v>
      </c>
      <c r="U28" t="e">
        <f t="shared" si="20"/>
        <v>#DIV/0!</v>
      </c>
      <c r="W28">
        <v>22</v>
      </c>
      <c r="X28" t="e">
        <f t="shared" si="21"/>
        <v>#DIV/0!</v>
      </c>
      <c r="Y28" t="e">
        <f t="shared" si="5"/>
        <v>#DIV/0!</v>
      </c>
      <c r="Z28" s="5" t="e">
        <f t="shared" si="6"/>
        <v>#DIV/0!</v>
      </c>
      <c r="AA28" s="5" t="e">
        <f t="shared" si="7"/>
        <v>#DIV/0!</v>
      </c>
      <c r="AB28">
        <f t="shared" si="22"/>
        <v>3.2000000000000006</v>
      </c>
      <c r="AC28">
        <f t="shared" si="8"/>
        <v>3.2000000000000006</v>
      </c>
      <c r="AD28" s="5">
        <f t="shared" si="9"/>
        <v>1.2738188743239433E-2</v>
      </c>
      <c r="AF28">
        <v>22</v>
      </c>
      <c r="AG28">
        <f t="shared" si="23"/>
        <v>0.70346641540527344</v>
      </c>
      <c r="AH28">
        <f t="shared" si="24"/>
        <v>0.70346784591674805</v>
      </c>
      <c r="AI28">
        <f t="shared" si="25"/>
        <v>0.70346713066101074</v>
      </c>
      <c r="AJ28">
        <f t="shared" si="10"/>
        <v>-1.9152901973851222E-6</v>
      </c>
      <c r="AK28">
        <f t="shared" si="11"/>
        <v>8.0525769841077732E-7</v>
      </c>
      <c r="AL28">
        <f t="shared" si="12"/>
        <v>-5.5501663448476179E-7</v>
      </c>
      <c r="AM28">
        <f t="shared" si="26"/>
        <v>1.0167578641984304E-4</v>
      </c>
      <c r="AN28">
        <f t="shared" si="27"/>
        <v>7.152557373046875E-7</v>
      </c>
    </row>
    <row r="29" spans="1:40" x14ac:dyDescent="0.3">
      <c r="A29">
        <f t="shared" si="0"/>
        <v>0.40000000000000069</v>
      </c>
      <c r="B29">
        <f t="shared" si="1"/>
        <v>-0.5103200460356383</v>
      </c>
      <c r="H29">
        <v>23</v>
      </c>
      <c r="I29">
        <f t="shared" si="13"/>
        <v>0.70346742249839167</v>
      </c>
      <c r="J29">
        <f t="shared" si="2"/>
        <v>0</v>
      </c>
      <c r="K29">
        <f t="shared" si="3"/>
        <v>1.901801259513314</v>
      </c>
      <c r="L29">
        <f t="shared" si="14"/>
        <v>0</v>
      </c>
      <c r="M29">
        <f t="shared" si="4"/>
        <v>0</v>
      </c>
      <c r="O29">
        <v>23</v>
      </c>
      <c r="P29" t="e">
        <f t="shared" si="15"/>
        <v>#DIV/0!</v>
      </c>
      <c r="Q29" t="e">
        <f t="shared" si="16"/>
        <v>#DIV/0!</v>
      </c>
      <c r="R29" t="e">
        <f t="shared" si="17"/>
        <v>#DIV/0!</v>
      </c>
      <c r="S29" t="e">
        <f t="shared" si="18"/>
        <v>#DIV/0!</v>
      </c>
      <c r="T29" t="e">
        <f t="shared" si="19"/>
        <v>#DIV/0!</v>
      </c>
      <c r="U29" t="e">
        <f t="shared" si="20"/>
        <v>#DIV/0!</v>
      </c>
      <c r="W29">
        <v>23</v>
      </c>
      <c r="X29" t="e">
        <f t="shared" si="21"/>
        <v>#DIV/0!</v>
      </c>
      <c r="Y29" t="e">
        <f t="shared" si="5"/>
        <v>#DIV/0!</v>
      </c>
      <c r="Z29" s="5" t="e">
        <f t="shared" si="6"/>
        <v>#DIV/0!</v>
      </c>
      <c r="AA29" s="5" t="e">
        <f t="shared" si="7"/>
        <v>#DIV/0!</v>
      </c>
      <c r="AB29">
        <f t="shared" si="22"/>
        <v>3.4000000000000008</v>
      </c>
      <c r="AC29">
        <f t="shared" si="8"/>
        <v>3.4000000000000008</v>
      </c>
      <c r="AD29" s="5">
        <f t="shared" si="9"/>
        <v>9.8156676353900133E-3</v>
      </c>
      <c r="AF29">
        <v>23</v>
      </c>
      <c r="AG29">
        <f t="shared" si="23"/>
        <v>0.70346713066101074</v>
      </c>
      <c r="AH29">
        <f t="shared" si="24"/>
        <v>0.70346784591674805</v>
      </c>
      <c r="AI29">
        <f t="shared" si="25"/>
        <v>0.70346748828887939</v>
      </c>
      <c r="AJ29">
        <f t="shared" si="10"/>
        <v>-5.5501663448476179E-7</v>
      </c>
      <c r="AK29">
        <f t="shared" si="11"/>
        <v>8.0525769841077732E-7</v>
      </c>
      <c r="AL29">
        <f t="shared" si="12"/>
        <v>1.251204357344271E-7</v>
      </c>
      <c r="AM29">
        <f t="shared" si="26"/>
        <v>5.0837867365020805E-5</v>
      </c>
      <c r="AN29">
        <f t="shared" si="27"/>
        <v>3.5762786865234375E-7</v>
      </c>
    </row>
    <row r="30" spans="1:40" x14ac:dyDescent="0.3">
      <c r="A30">
        <f t="shared" si="0"/>
        <v>0.50000000000000067</v>
      </c>
      <c r="B30">
        <f t="shared" si="1"/>
        <v>-0.35653065971263231</v>
      </c>
      <c r="H30">
        <v>24</v>
      </c>
      <c r="I30">
        <f t="shared" si="13"/>
        <v>0.70346742249839167</v>
      </c>
      <c r="J30">
        <f t="shared" si="2"/>
        <v>0</v>
      </c>
      <c r="K30">
        <f t="shared" si="3"/>
        <v>1.901801259513314</v>
      </c>
      <c r="L30">
        <f t="shared" si="14"/>
        <v>0</v>
      </c>
      <c r="M30">
        <f t="shared" si="4"/>
        <v>0</v>
      </c>
      <c r="O30">
        <v>24</v>
      </c>
      <c r="P30" t="e">
        <f t="shared" si="15"/>
        <v>#DIV/0!</v>
      </c>
      <c r="Q30" t="e">
        <f t="shared" si="16"/>
        <v>#DIV/0!</v>
      </c>
      <c r="R30" t="e">
        <f t="shared" si="17"/>
        <v>#DIV/0!</v>
      </c>
      <c r="S30" t="e">
        <f t="shared" si="18"/>
        <v>#DIV/0!</v>
      </c>
      <c r="T30" t="e">
        <f t="shared" si="19"/>
        <v>#DIV/0!</v>
      </c>
      <c r="U30" t="e">
        <f t="shared" si="20"/>
        <v>#DIV/0!</v>
      </c>
      <c r="W30">
        <v>24</v>
      </c>
      <c r="X30" t="e">
        <f t="shared" si="21"/>
        <v>#DIV/0!</v>
      </c>
      <c r="Y30" t="e">
        <f t="shared" si="5"/>
        <v>#DIV/0!</v>
      </c>
      <c r="Z30" s="5" t="e">
        <f t="shared" si="6"/>
        <v>#DIV/0!</v>
      </c>
      <c r="AA30" s="5" t="e">
        <f t="shared" si="7"/>
        <v>#DIV/0!</v>
      </c>
      <c r="AB30">
        <f t="shared" si="22"/>
        <v>3.600000000000001</v>
      </c>
      <c r="AC30">
        <f t="shared" si="8"/>
        <v>3.600000000000001</v>
      </c>
      <c r="AD30" s="5">
        <f t="shared" si="9"/>
        <v>7.5899229020257022E-3</v>
      </c>
      <c r="AF30">
        <v>24</v>
      </c>
      <c r="AG30">
        <f t="shared" si="23"/>
        <v>0.70346713066101074</v>
      </c>
      <c r="AH30">
        <f t="shared" si="24"/>
        <v>0.70346748828887939</v>
      </c>
      <c r="AI30">
        <f t="shared" si="25"/>
        <v>0.70346730947494507</v>
      </c>
      <c r="AJ30">
        <f t="shared" si="10"/>
        <v>-5.5501663448476179E-7</v>
      </c>
      <c r="AK30">
        <f t="shared" si="11"/>
        <v>1.251204357344271E-7</v>
      </c>
      <c r="AL30">
        <f t="shared" si="12"/>
        <v>-2.1494812346700698E-7</v>
      </c>
      <c r="AM30">
        <f t="shared" si="26"/>
        <v>2.541894014373394E-5</v>
      </c>
      <c r="AN30">
        <f t="shared" si="27"/>
        <v>1.7881393432617188E-7</v>
      </c>
    </row>
    <row r="31" spans="1:40" x14ac:dyDescent="0.3">
      <c r="A31">
        <f t="shared" si="0"/>
        <v>0.60000000000000064</v>
      </c>
      <c r="B31">
        <f t="shared" si="1"/>
        <v>-0.18881163609402529</v>
      </c>
      <c r="H31">
        <v>25</v>
      </c>
      <c r="I31">
        <f t="shared" si="13"/>
        <v>0.70346742249839167</v>
      </c>
      <c r="J31">
        <f t="shared" si="2"/>
        <v>0</v>
      </c>
      <c r="K31">
        <f t="shared" si="3"/>
        <v>1.901801259513314</v>
      </c>
      <c r="L31">
        <f t="shared" si="14"/>
        <v>0</v>
      </c>
      <c r="M31">
        <f t="shared" si="4"/>
        <v>0</v>
      </c>
      <c r="O31">
        <v>25</v>
      </c>
      <c r="P31" t="e">
        <f t="shared" si="15"/>
        <v>#DIV/0!</v>
      </c>
      <c r="Q31" t="e">
        <f t="shared" si="16"/>
        <v>#DIV/0!</v>
      </c>
      <c r="R31" t="e">
        <f t="shared" si="17"/>
        <v>#DIV/0!</v>
      </c>
      <c r="S31" t="e">
        <f t="shared" si="18"/>
        <v>#DIV/0!</v>
      </c>
      <c r="T31" t="e">
        <f t="shared" si="19"/>
        <v>#DIV/0!</v>
      </c>
      <c r="U31" t="e">
        <f t="shared" si="20"/>
        <v>#DIV/0!</v>
      </c>
      <c r="W31">
        <v>25</v>
      </c>
      <c r="X31" t="e">
        <f t="shared" si="21"/>
        <v>#DIV/0!</v>
      </c>
      <c r="Y31" t="e">
        <f t="shared" si="5"/>
        <v>#DIV/0!</v>
      </c>
      <c r="Z31" s="5" t="e">
        <f t="shared" si="6"/>
        <v>#DIV/0!</v>
      </c>
      <c r="AA31" s="5" t="e">
        <f t="shared" si="7"/>
        <v>#DIV/0!</v>
      </c>
      <c r="AB31">
        <f t="shared" si="22"/>
        <v>3.8000000000000012</v>
      </c>
      <c r="AC31">
        <f t="shared" si="8"/>
        <v>3.8000000000000012</v>
      </c>
      <c r="AD31" s="5">
        <f t="shared" si="9"/>
        <v>5.8870452253067269E-3</v>
      </c>
      <c r="AF31">
        <v>25</v>
      </c>
      <c r="AG31">
        <f t="shared" si="23"/>
        <v>0.70346730947494507</v>
      </c>
      <c r="AH31">
        <f t="shared" si="24"/>
        <v>0.70346748828887939</v>
      </c>
      <c r="AI31">
        <f t="shared" si="25"/>
        <v>0.70346739888191223</v>
      </c>
      <c r="AJ31">
        <f t="shared" si="10"/>
        <v>-2.1494812346700698E-7</v>
      </c>
      <c r="AK31">
        <f t="shared" si="11"/>
        <v>1.251204357344271E-7</v>
      </c>
      <c r="AL31">
        <f t="shared" si="12"/>
        <v>-4.491384986149427E-8</v>
      </c>
      <c r="AM31">
        <f t="shared" si="26"/>
        <v>1.2709468456560879E-5</v>
      </c>
      <c r="AN31">
        <f t="shared" si="27"/>
        <v>8.9406967163085938E-8</v>
      </c>
    </row>
    <row r="32" spans="1:40" x14ac:dyDescent="0.3">
      <c r="A32">
        <f t="shared" si="0"/>
        <v>0.70000000000000062</v>
      </c>
      <c r="B32">
        <f t="shared" si="1"/>
        <v>-6.5853037914083146E-3</v>
      </c>
      <c r="H32">
        <v>26</v>
      </c>
      <c r="I32">
        <f t="shared" si="13"/>
        <v>0.70346742249839167</v>
      </c>
      <c r="J32">
        <f t="shared" si="2"/>
        <v>0</v>
      </c>
      <c r="K32">
        <f t="shared" si="3"/>
        <v>1.901801259513314</v>
      </c>
      <c r="L32">
        <f t="shared" si="14"/>
        <v>0</v>
      </c>
      <c r="M32">
        <f t="shared" si="4"/>
        <v>0</v>
      </c>
      <c r="O32">
        <v>26</v>
      </c>
      <c r="P32" t="e">
        <f t="shared" si="15"/>
        <v>#DIV/0!</v>
      </c>
      <c r="Q32" t="e">
        <f t="shared" si="16"/>
        <v>#DIV/0!</v>
      </c>
      <c r="R32" t="e">
        <f t="shared" si="17"/>
        <v>#DIV/0!</v>
      </c>
      <c r="S32" t="e">
        <f t="shared" si="18"/>
        <v>#DIV/0!</v>
      </c>
      <c r="T32" t="e">
        <f t="shared" si="19"/>
        <v>#DIV/0!</v>
      </c>
      <c r="U32" t="e">
        <f t="shared" si="20"/>
        <v>#DIV/0!</v>
      </c>
      <c r="W32">
        <v>26</v>
      </c>
      <c r="X32" t="e">
        <f t="shared" si="21"/>
        <v>#DIV/0!</v>
      </c>
      <c r="Y32" t="e">
        <f t="shared" si="5"/>
        <v>#DIV/0!</v>
      </c>
      <c r="Z32" s="5" t="e">
        <f t="shared" si="6"/>
        <v>#DIV/0!</v>
      </c>
      <c r="AA32" s="5" t="e">
        <f t="shared" si="7"/>
        <v>#DIV/0!</v>
      </c>
      <c r="AB32">
        <f t="shared" si="22"/>
        <v>4.0000000000000009</v>
      </c>
      <c r="AC32">
        <f t="shared" si="8"/>
        <v>4.0000000000000009</v>
      </c>
      <c r="AD32" s="5">
        <f t="shared" si="9"/>
        <v>4.5789097221835403E-3</v>
      </c>
      <c r="AF32">
        <v>26</v>
      </c>
      <c r="AG32">
        <f t="shared" si="23"/>
        <v>0.70346739888191223</v>
      </c>
      <c r="AH32">
        <f t="shared" si="24"/>
        <v>0.70346748828887939</v>
      </c>
      <c r="AI32">
        <f t="shared" si="25"/>
        <v>0.70346744358539581</v>
      </c>
      <c r="AJ32">
        <f t="shared" si="10"/>
        <v>-4.491384986149427E-8</v>
      </c>
      <c r="AK32">
        <f t="shared" si="11"/>
        <v>1.251204357344271E-7</v>
      </c>
      <c r="AL32">
        <f t="shared" si="12"/>
        <v>4.0103291409909758E-8</v>
      </c>
      <c r="AM32">
        <f t="shared" si="26"/>
        <v>6.3547338244539946E-6</v>
      </c>
      <c r="AN32">
        <f t="shared" si="27"/>
        <v>4.4703483581542969E-8</v>
      </c>
    </row>
    <row r="33" spans="1:40" x14ac:dyDescent="0.3">
      <c r="A33">
        <f t="shared" si="0"/>
        <v>0.8000000000000006</v>
      </c>
      <c r="B33">
        <f t="shared" si="1"/>
        <v>0.19067103588277967</v>
      </c>
      <c r="H33">
        <v>27</v>
      </c>
      <c r="I33">
        <f t="shared" si="13"/>
        <v>0.70346742249839167</v>
      </c>
      <c r="J33">
        <f t="shared" si="2"/>
        <v>0</v>
      </c>
      <c r="K33">
        <f t="shared" si="3"/>
        <v>1.901801259513314</v>
      </c>
      <c r="L33">
        <f t="shared" si="14"/>
        <v>0</v>
      </c>
      <c r="M33">
        <f t="shared" si="4"/>
        <v>0</v>
      </c>
      <c r="O33">
        <v>27</v>
      </c>
      <c r="P33" t="e">
        <f t="shared" si="15"/>
        <v>#DIV/0!</v>
      </c>
      <c r="Q33" t="e">
        <f t="shared" si="16"/>
        <v>#DIV/0!</v>
      </c>
      <c r="R33" t="e">
        <f t="shared" si="17"/>
        <v>#DIV/0!</v>
      </c>
      <c r="S33" t="e">
        <f t="shared" si="18"/>
        <v>#DIV/0!</v>
      </c>
      <c r="T33" t="e">
        <f t="shared" si="19"/>
        <v>#DIV/0!</v>
      </c>
      <c r="U33" t="e">
        <f t="shared" si="20"/>
        <v>#DIV/0!</v>
      </c>
      <c r="W33">
        <v>27</v>
      </c>
      <c r="X33" t="e">
        <f t="shared" si="21"/>
        <v>#DIV/0!</v>
      </c>
      <c r="Y33" t="e">
        <f t="shared" si="5"/>
        <v>#DIV/0!</v>
      </c>
      <c r="Z33" s="5" t="e">
        <f t="shared" si="6"/>
        <v>#DIV/0!</v>
      </c>
      <c r="AA33" s="5" t="e">
        <f t="shared" si="7"/>
        <v>#DIV/0!</v>
      </c>
      <c r="AB33">
        <f t="shared" si="22"/>
        <v>4.2000000000000011</v>
      </c>
      <c r="AC33">
        <f t="shared" si="8"/>
        <v>4.2000000000000011</v>
      </c>
      <c r="AD33" s="5">
        <f t="shared" si="9"/>
        <v>3.5703754334470684E-3</v>
      </c>
      <c r="AF33">
        <v>27</v>
      </c>
      <c r="AG33">
        <f t="shared" si="23"/>
        <v>0.70346739888191223</v>
      </c>
      <c r="AH33">
        <f t="shared" si="24"/>
        <v>0.70346744358539581</v>
      </c>
      <c r="AI33">
        <f t="shared" si="25"/>
        <v>0.70346742123365402</v>
      </c>
      <c r="AJ33">
        <f t="shared" si="10"/>
        <v>-4.491384986149427E-8</v>
      </c>
      <c r="AK33">
        <f t="shared" si="11"/>
        <v>4.0103291409909758E-8</v>
      </c>
      <c r="AL33">
        <f t="shared" si="12"/>
        <v>-2.4052796421258904E-9</v>
      </c>
      <c r="AM33">
        <f t="shared" si="26"/>
        <v>3.1773670131836049E-6</v>
      </c>
      <c r="AN33">
        <f t="shared" si="27"/>
        <v>2.2351741790771484E-8</v>
      </c>
    </row>
    <row r="34" spans="1:40" x14ac:dyDescent="0.3">
      <c r="A34">
        <f t="shared" si="0"/>
        <v>0.90000000000000058</v>
      </c>
      <c r="B34">
        <f t="shared" si="1"/>
        <v>0.40343034025940216</v>
      </c>
      <c r="H34">
        <v>28</v>
      </c>
      <c r="I34">
        <f t="shared" si="13"/>
        <v>0.70346742249839167</v>
      </c>
      <c r="J34">
        <f t="shared" si="2"/>
        <v>0</v>
      </c>
      <c r="K34">
        <f t="shared" si="3"/>
        <v>1.901801259513314</v>
      </c>
      <c r="L34">
        <f t="shared" si="14"/>
        <v>0</v>
      </c>
      <c r="M34">
        <f t="shared" si="4"/>
        <v>0</v>
      </c>
      <c r="O34">
        <v>28</v>
      </c>
      <c r="P34" t="e">
        <f t="shared" si="15"/>
        <v>#DIV/0!</v>
      </c>
      <c r="Q34" t="e">
        <f t="shared" si="16"/>
        <v>#DIV/0!</v>
      </c>
      <c r="R34" t="e">
        <f t="shared" si="17"/>
        <v>#DIV/0!</v>
      </c>
      <c r="S34" t="e">
        <f t="shared" si="18"/>
        <v>#DIV/0!</v>
      </c>
      <c r="T34" t="e">
        <f t="shared" si="19"/>
        <v>#DIV/0!</v>
      </c>
      <c r="U34" t="e">
        <f t="shared" si="20"/>
        <v>#DIV/0!</v>
      </c>
      <c r="AF34">
        <v>28</v>
      </c>
      <c r="AG34">
        <f t="shared" si="23"/>
        <v>0.70346742123365402</v>
      </c>
      <c r="AH34">
        <f t="shared" si="24"/>
        <v>0.70346744358539581</v>
      </c>
      <c r="AI34">
        <f t="shared" si="25"/>
        <v>0.70346743240952492</v>
      </c>
      <c r="AJ34">
        <f t="shared" si="10"/>
        <v>-2.4052796421258904E-9</v>
      </c>
      <c r="AK34">
        <f t="shared" si="11"/>
        <v>4.0103291409909758E-8</v>
      </c>
      <c r="AL34">
        <f t="shared" si="12"/>
        <v>1.8849005800625207E-8</v>
      </c>
      <c r="AM34">
        <f t="shared" si="26"/>
        <v>1.5886834813526503E-6</v>
      </c>
      <c r="AN34">
        <f t="shared" si="27"/>
        <v>1.1175870895385742E-8</v>
      </c>
    </row>
    <row r="35" spans="1:40" x14ac:dyDescent="0.3">
      <c r="A35">
        <f t="shared" si="0"/>
        <v>1.0000000000000007</v>
      </c>
      <c r="B35">
        <f t="shared" si="1"/>
        <v>0.63212055882855922</v>
      </c>
      <c r="H35">
        <v>29</v>
      </c>
      <c r="I35">
        <f t="shared" si="13"/>
        <v>0.70346742249839167</v>
      </c>
      <c r="J35">
        <f t="shared" si="2"/>
        <v>0</v>
      </c>
      <c r="K35">
        <f t="shared" si="3"/>
        <v>1.901801259513314</v>
      </c>
      <c r="L35">
        <f t="shared" si="14"/>
        <v>0</v>
      </c>
      <c r="M35">
        <f t="shared" si="4"/>
        <v>0</v>
      </c>
      <c r="O35">
        <v>29</v>
      </c>
      <c r="P35" t="e">
        <f t="shared" si="15"/>
        <v>#DIV/0!</v>
      </c>
      <c r="Q35" t="e">
        <f t="shared" si="16"/>
        <v>#DIV/0!</v>
      </c>
      <c r="R35" t="e">
        <f t="shared" si="17"/>
        <v>#DIV/0!</v>
      </c>
      <c r="S35" t="e">
        <f t="shared" si="18"/>
        <v>#DIV/0!</v>
      </c>
      <c r="T35" t="e">
        <f t="shared" si="19"/>
        <v>#DIV/0!</v>
      </c>
      <c r="U35" t="e">
        <f t="shared" si="20"/>
        <v>#DIV/0!</v>
      </c>
      <c r="AF35">
        <v>29</v>
      </c>
      <c r="AG35">
        <f t="shared" si="23"/>
        <v>0.70346742123365402</v>
      </c>
      <c r="AH35">
        <f t="shared" si="24"/>
        <v>0.70346743240952492</v>
      </c>
      <c r="AI35">
        <f t="shared" si="25"/>
        <v>0.70346742682158947</v>
      </c>
      <c r="AJ35">
        <f t="shared" si="10"/>
        <v>-2.4052796421258904E-9</v>
      </c>
      <c r="AK35">
        <f t="shared" si="11"/>
        <v>1.8849005800625207E-8</v>
      </c>
      <c r="AL35">
        <f t="shared" si="12"/>
        <v>8.2218630792496583E-9</v>
      </c>
      <c r="AM35">
        <f t="shared" si="26"/>
        <v>7.943417469861131E-7</v>
      </c>
      <c r="AN35">
        <f t="shared" si="27"/>
        <v>5.5879354476928711E-9</v>
      </c>
    </row>
    <row r="36" spans="1:40" x14ac:dyDescent="0.3">
      <c r="A36">
        <f t="shared" si="0"/>
        <v>1.1000000000000008</v>
      </c>
      <c r="B36">
        <f t="shared" si="1"/>
        <v>0.87712891630192247</v>
      </c>
      <c r="H36">
        <v>30</v>
      </c>
      <c r="I36">
        <f t="shared" si="13"/>
        <v>0.70346742249839167</v>
      </c>
      <c r="J36">
        <f t="shared" si="2"/>
        <v>0</v>
      </c>
      <c r="K36">
        <f t="shared" si="3"/>
        <v>1.901801259513314</v>
      </c>
      <c r="L36">
        <f t="shared" si="14"/>
        <v>0</v>
      </c>
      <c r="M36">
        <f t="shared" si="4"/>
        <v>0</v>
      </c>
      <c r="O36">
        <v>30</v>
      </c>
      <c r="P36" t="e">
        <f t="shared" si="15"/>
        <v>#DIV/0!</v>
      </c>
      <c r="Q36" t="e">
        <f t="shared" si="16"/>
        <v>#DIV/0!</v>
      </c>
      <c r="R36" t="e">
        <f t="shared" si="17"/>
        <v>#DIV/0!</v>
      </c>
      <c r="S36" t="e">
        <f t="shared" si="18"/>
        <v>#DIV/0!</v>
      </c>
      <c r="T36" t="e">
        <f t="shared" si="19"/>
        <v>#DIV/0!</v>
      </c>
      <c r="U36" t="e">
        <f t="shared" si="20"/>
        <v>#DIV/0!</v>
      </c>
      <c r="AF36">
        <v>30</v>
      </c>
      <c r="AG36">
        <f t="shared" si="23"/>
        <v>0.70346742123365402</v>
      </c>
      <c r="AH36">
        <f t="shared" si="24"/>
        <v>0.70346742682158947</v>
      </c>
      <c r="AI36">
        <f t="shared" si="25"/>
        <v>0.70346742402762175</v>
      </c>
      <c r="AJ36">
        <f t="shared" si="10"/>
        <v>-2.4052796421258904E-9</v>
      </c>
      <c r="AK36">
        <f t="shared" si="11"/>
        <v>8.2218630792496583E-9</v>
      </c>
      <c r="AL36">
        <f t="shared" si="12"/>
        <v>2.908291718561884E-9</v>
      </c>
      <c r="AM36">
        <f t="shared" si="26"/>
        <v>3.9717087507050363E-7</v>
      </c>
      <c r="AN36">
        <f t="shared" si="27"/>
        <v>2.7939677238464355E-9</v>
      </c>
    </row>
    <row r="37" spans="1:40" x14ac:dyDescent="0.3">
      <c r="A37">
        <f t="shared" si="0"/>
        <v>1.2000000000000008</v>
      </c>
      <c r="B37">
        <f t="shared" si="1"/>
        <v>1.1388057880878</v>
      </c>
      <c r="H37">
        <v>31</v>
      </c>
      <c r="I37">
        <f t="shared" si="13"/>
        <v>0.70346742249839167</v>
      </c>
      <c r="J37">
        <f t="shared" si="2"/>
        <v>0</v>
      </c>
      <c r="K37">
        <f t="shared" si="3"/>
        <v>1.901801259513314</v>
      </c>
      <c r="L37">
        <f t="shared" si="14"/>
        <v>0</v>
      </c>
      <c r="M37">
        <f t="shared" si="4"/>
        <v>0</v>
      </c>
      <c r="O37">
        <v>31</v>
      </c>
      <c r="P37" t="e">
        <f t="shared" si="15"/>
        <v>#DIV/0!</v>
      </c>
      <c r="Q37" t="e">
        <f t="shared" si="16"/>
        <v>#DIV/0!</v>
      </c>
      <c r="R37" t="e">
        <f t="shared" si="17"/>
        <v>#DIV/0!</v>
      </c>
      <c r="S37" t="e">
        <f t="shared" si="18"/>
        <v>#DIV/0!</v>
      </c>
      <c r="T37" t="e">
        <f t="shared" si="19"/>
        <v>#DIV/0!</v>
      </c>
      <c r="U37" t="e">
        <f t="shared" si="20"/>
        <v>#DIV/0!</v>
      </c>
      <c r="AF37">
        <v>31</v>
      </c>
      <c r="AG37">
        <f t="shared" si="23"/>
        <v>0.70346742123365402</v>
      </c>
      <c r="AH37">
        <f t="shared" si="24"/>
        <v>0.70346742402762175</v>
      </c>
      <c r="AI37">
        <f t="shared" si="25"/>
        <v>0.70346742263063788</v>
      </c>
      <c r="AJ37">
        <f t="shared" si="10"/>
        <v>-2.4052796421258904E-9</v>
      </c>
      <c r="AK37">
        <f t="shared" si="11"/>
        <v>2.908291718561884E-9</v>
      </c>
      <c r="AL37">
        <f t="shared" si="12"/>
        <v>2.5150609372914801E-10</v>
      </c>
      <c r="AM37">
        <f t="shared" si="26"/>
        <v>1.9858543792961358E-7</v>
      </c>
      <c r="AN37">
        <f t="shared" si="27"/>
        <v>1.3969838619232178E-9</v>
      </c>
    </row>
    <row r="38" spans="1:40" x14ac:dyDescent="0.3">
      <c r="A38">
        <f t="shared" si="0"/>
        <v>1.3000000000000009</v>
      </c>
      <c r="B38">
        <f t="shared" si="1"/>
        <v>1.4174682069659901</v>
      </c>
      <c r="H38">
        <v>32</v>
      </c>
      <c r="I38">
        <f t="shared" si="13"/>
        <v>0.70346742249839167</v>
      </c>
      <c r="J38">
        <f t="shared" si="2"/>
        <v>0</v>
      </c>
      <c r="K38">
        <f t="shared" si="3"/>
        <v>1.901801259513314</v>
      </c>
      <c r="L38">
        <f t="shared" si="14"/>
        <v>0</v>
      </c>
      <c r="M38">
        <f t="shared" si="4"/>
        <v>0</v>
      </c>
      <c r="O38">
        <v>32</v>
      </c>
      <c r="P38" t="e">
        <f t="shared" si="15"/>
        <v>#DIV/0!</v>
      </c>
      <c r="Q38" t="e">
        <f t="shared" si="16"/>
        <v>#DIV/0!</v>
      </c>
      <c r="R38" t="e">
        <f t="shared" si="17"/>
        <v>#DIV/0!</v>
      </c>
      <c r="S38" t="e">
        <f t="shared" si="18"/>
        <v>#DIV/0!</v>
      </c>
      <c r="T38" t="e">
        <f t="shared" si="19"/>
        <v>#DIV/0!</v>
      </c>
      <c r="U38" t="e">
        <f t="shared" si="20"/>
        <v>#DIV/0!</v>
      </c>
      <c r="AF38">
        <v>32</v>
      </c>
      <c r="AG38">
        <f>IF(AJ37*AL37&gt;0,AI37,AG37)</f>
        <v>0.70346742123365402</v>
      </c>
      <c r="AH38">
        <f>IF(AK37*AL37&gt;0,AI37,AH37)</f>
        <v>0.70346742263063788</v>
      </c>
      <c r="AI38">
        <f>AVERAGE(AG38:AH38)</f>
        <v>0.70346742193214595</v>
      </c>
      <c r="AJ38">
        <f t="shared" si="10"/>
        <v>-2.4052796421258904E-9</v>
      </c>
      <c r="AK38">
        <f t="shared" si="11"/>
        <v>2.5150609372914801E-10</v>
      </c>
      <c r="AL38">
        <f t="shared" si="12"/>
        <v>-1.0768868019539468E-9</v>
      </c>
      <c r="AM38">
        <f>ABS((AI38-AI37)/AI38)*100</f>
        <v>9.9292719063397214E-8</v>
      </c>
      <c r="AN38">
        <f t="shared" si="27"/>
        <v>6.9849193096160889E-10</v>
      </c>
    </row>
    <row r="39" spans="1:40" x14ac:dyDescent="0.3">
      <c r="A39">
        <f t="shared" si="0"/>
        <v>1.400000000000001</v>
      </c>
      <c r="B39">
        <f t="shared" si="1"/>
        <v>1.7134030360583967</v>
      </c>
      <c r="H39">
        <v>33</v>
      </c>
      <c r="I39">
        <f t="shared" si="13"/>
        <v>0.70346742249839167</v>
      </c>
      <c r="J39">
        <f t="shared" si="2"/>
        <v>0</v>
      </c>
      <c r="K39">
        <f t="shared" si="3"/>
        <v>1.901801259513314</v>
      </c>
      <c r="L39">
        <f t="shared" si="14"/>
        <v>0</v>
      </c>
      <c r="M39">
        <f t="shared" si="4"/>
        <v>0</v>
      </c>
      <c r="O39">
        <v>33</v>
      </c>
      <c r="P39" t="e">
        <f t="shared" si="15"/>
        <v>#DIV/0!</v>
      </c>
      <c r="Q39" t="e">
        <f t="shared" si="16"/>
        <v>#DIV/0!</v>
      </c>
      <c r="R39" t="e">
        <f t="shared" si="17"/>
        <v>#DIV/0!</v>
      </c>
      <c r="S39" t="e">
        <f t="shared" si="18"/>
        <v>#DIV/0!</v>
      </c>
      <c r="T39" t="e">
        <f t="shared" si="19"/>
        <v>#DIV/0!</v>
      </c>
      <c r="U39" t="e">
        <f t="shared" si="20"/>
        <v>#DIV/0!</v>
      </c>
      <c r="AF39">
        <v>33</v>
      </c>
      <c r="AG39">
        <f t="shared" ref="AG39:AG61" si="28">IF(AJ38*AL38&gt;0,AI38,AG38)</f>
        <v>0.70346742193214595</v>
      </c>
      <c r="AH39">
        <f t="shared" ref="AH39:AH61" si="29">IF(AK38*AL38&gt;0,AI38,AH38)</f>
        <v>0.70346742263063788</v>
      </c>
      <c r="AI39">
        <f t="shared" ref="AI39:AI61" si="30">AVERAGE(AG39:AH39)</f>
        <v>0.70346742228139192</v>
      </c>
      <c r="AJ39">
        <f t="shared" si="10"/>
        <v>-1.0768868019539468E-9</v>
      </c>
      <c r="AK39">
        <f t="shared" si="11"/>
        <v>2.5150609372914801E-10</v>
      </c>
      <c r="AL39">
        <f t="shared" si="12"/>
        <v>-4.1269038186797502E-10</v>
      </c>
      <c r="AM39">
        <f t="shared" ref="AM39:AM61" si="31">ABS((AI39-AI38)/AI39)*100</f>
        <v>4.9646359507051007E-8</v>
      </c>
      <c r="AN39">
        <f t="shared" si="27"/>
        <v>3.4924596548080444E-10</v>
      </c>
    </row>
    <row r="40" spans="1:40" x14ac:dyDescent="0.3">
      <c r="A40">
        <f t="shared" si="0"/>
        <v>1.5000000000000011</v>
      </c>
      <c r="B40">
        <f t="shared" si="1"/>
        <v>2.0268698398515741</v>
      </c>
      <c r="H40">
        <v>34</v>
      </c>
      <c r="I40">
        <f t="shared" si="13"/>
        <v>0.70346742249839167</v>
      </c>
      <c r="J40">
        <f t="shared" si="2"/>
        <v>0</v>
      </c>
      <c r="K40">
        <f t="shared" si="3"/>
        <v>1.901801259513314</v>
      </c>
      <c r="L40">
        <f t="shared" si="14"/>
        <v>0</v>
      </c>
      <c r="M40">
        <f t="shared" ref="M40:M60" si="32">ABS(+I40-I39)</f>
        <v>0</v>
      </c>
      <c r="O40">
        <v>34</v>
      </c>
      <c r="P40" t="e">
        <f t="shared" si="15"/>
        <v>#DIV/0!</v>
      </c>
      <c r="Q40" t="e">
        <f t="shared" si="16"/>
        <v>#DIV/0!</v>
      </c>
      <c r="R40" t="e">
        <f t="shared" si="17"/>
        <v>#DIV/0!</v>
      </c>
      <c r="S40" t="e">
        <f t="shared" si="18"/>
        <v>#DIV/0!</v>
      </c>
      <c r="T40" t="e">
        <f t="shared" si="19"/>
        <v>#DIV/0!</v>
      </c>
      <c r="U40" t="e">
        <f t="shared" si="20"/>
        <v>#DIV/0!</v>
      </c>
      <c r="AF40">
        <v>34</v>
      </c>
      <c r="AG40">
        <f t="shared" si="28"/>
        <v>0.70346742228139192</v>
      </c>
      <c r="AH40">
        <f t="shared" si="29"/>
        <v>0.70346742263063788</v>
      </c>
      <c r="AI40">
        <f t="shared" si="30"/>
        <v>0.7034674224560149</v>
      </c>
      <c r="AJ40">
        <f t="shared" si="10"/>
        <v>-4.1269038186797502E-10</v>
      </c>
      <c r="AK40">
        <f t="shared" si="11"/>
        <v>2.5150609372914801E-10</v>
      </c>
      <c r="AL40">
        <f t="shared" si="12"/>
        <v>-8.0592199580564738E-11</v>
      </c>
      <c r="AM40">
        <f t="shared" si="31"/>
        <v>2.4823179747363597E-8</v>
      </c>
      <c r="AN40">
        <f t="shared" si="27"/>
        <v>1.7462298274040222E-10</v>
      </c>
    </row>
    <row r="41" spans="1:40" x14ac:dyDescent="0.3">
      <c r="A41">
        <f t="shared" si="0"/>
        <v>1.6000000000000012</v>
      </c>
      <c r="B41">
        <f t="shared" si="1"/>
        <v>2.3581034820053488</v>
      </c>
      <c r="H41">
        <v>35</v>
      </c>
      <c r="I41">
        <f t="shared" si="13"/>
        <v>0.70346742249839167</v>
      </c>
      <c r="J41">
        <f t="shared" si="2"/>
        <v>0</v>
      </c>
      <c r="K41">
        <f t="shared" si="3"/>
        <v>1.901801259513314</v>
      </c>
      <c r="L41">
        <f t="shared" si="14"/>
        <v>0</v>
      </c>
      <c r="M41">
        <f t="shared" si="32"/>
        <v>0</v>
      </c>
      <c r="O41">
        <v>35</v>
      </c>
      <c r="P41" t="e">
        <f t="shared" si="15"/>
        <v>#DIV/0!</v>
      </c>
      <c r="Q41" t="e">
        <f t="shared" si="16"/>
        <v>#DIV/0!</v>
      </c>
      <c r="R41" t="e">
        <f t="shared" si="17"/>
        <v>#DIV/0!</v>
      </c>
      <c r="S41" t="e">
        <f t="shared" si="18"/>
        <v>#DIV/0!</v>
      </c>
      <c r="T41" t="e">
        <f t="shared" si="19"/>
        <v>#DIV/0!</v>
      </c>
      <c r="U41" t="e">
        <f t="shared" si="20"/>
        <v>#DIV/0!</v>
      </c>
      <c r="AF41">
        <v>35</v>
      </c>
      <c r="AG41">
        <f t="shared" si="28"/>
        <v>0.7034674224560149</v>
      </c>
      <c r="AH41">
        <f t="shared" si="29"/>
        <v>0.70346742263063788</v>
      </c>
      <c r="AI41">
        <f t="shared" si="30"/>
        <v>0.70346742254332639</v>
      </c>
      <c r="AJ41">
        <f t="shared" si="10"/>
        <v>-8.0592199580564738E-11</v>
      </c>
      <c r="AK41">
        <f t="shared" si="11"/>
        <v>2.5150609372914801E-10</v>
      </c>
      <c r="AL41">
        <f t="shared" si="12"/>
        <v>8.5456919318716018E-11</v>
      </c>
      <c r="AM41">
        <f t="shared" si="31"/>
        <v>1.2411589872141325E-8</v>
      </c>
      <c r="AN41">
        <f t="shared" si="27"/>
        <v>8.7311491370201111E-11</v>
      </c>
    </row>
    <row r="42" spans="1:40" x14ac:dyDescent="0.3">
      <c r="A42">
        <f t="shared" si="0"/>
        <v>1.7000000000000013</v>
      </c>
      <c r="B42">
        <f t="shared" si="1"/>
        <v>2.7073164759472701</v>
      </c>
      <c r="H42">
        <v>36</v>
      </c>
      <c r="I42">
        <f t="shared" si="13"/>
        <v>0.70346742249839167</v>
      </c>
      <c r="J42">
        <f t="shared" si="2"/>
        <v>0</v>
      </c>
      <c r="K42">
        <f t="shared" si="3"/>
        <v>1.901801259513314</v>
      </c>
      <c r="L42">
        <f t="shared" si="14"/>
        <v>0</v>
      </c>
      <c r="M42">
        <f t="shared" si="32"/>
        <v>0</v>
      </c>
      <c r="O42">
        <v>36</v>
      </c>
      <c r="P42" t="e">
        <f t="shared" si="15"/>
        <v>#DIV/0!</v>
      </c>
      <c r="Q42" t="e">
        <f t="shared" si="16"/>
        <v>#DIV/0!</v>
      </c>
      <c r="R42" t="e">
        <f t="shared" si="17"/>
        <v>#DIV/0!</v>
      </c>
      <c r="S42" t="e">
        <f t="shared" si="18"/>
        <v>#DIV/0!</v>
      </c>
      <c r="T42" t="e">
        <f t="shared" si="19"/>
        <v>#DIV/0!</v>
      </c>
      <c r="U42" t="e">
        <f t="shared" si="20"/>
        <v>#DIV/0!</v>
      </c>
      <c r="AF42">
        <v>36</v>
      </c>
      <c r="AG42">
        <f t="shared" si="28"/>
        <v>0.7034674224560149</v>
      </c>
      <c r="AH42">
        <f t="shared" si="29"/>
        <v>0.70346742254332639</v>
      </c>
      <c r="AI42">
        <f t="shared" si="30"/>
        <v>0.70346742249967065</v>
      </c>
      <c r="AJ42">
        <f t="shared" si="10"/>
        <v>-8.0592199580564738E-11</v>
      </c>
      <c r="AK42">
        <f t="shared" si="11"/>
        <v>8.5456919318716018E-11</v>
      </c>
      <c r="AL42">
        <f t="shared" si="12"/>
        <v>2.4323876246512555E-12</v>
      </c>
      <c r="AM42">
        <f t="shared" si="31"/>
        <v>6.2057949364557805E-9</v>
      </c>
      <c r="AN42">
        <f t="shared" si="27"/>
        <v>4.3655745685100555E-11</v>
      </c>
    </row>
    <row r="43" spans="1:40" x14ac:dyDescent="0.3">
      <c r="A43">
        <f t="shared" si="0"/>
        <v>1.8000000000000014</v>
      </c>
      <c r="B43">
        <f t="shared" si="1"/>
        <v>3.0747011117784186</v>
      </c>
      <c r="H43">
        <v>37</v>
      </c>
      <c r="I43">
        <f t="shared" si="13"/>
        <v>0.70346742249839167</v>
      </c>
      <c r="J43">
        <f t="shared" si="2"/>
        <v>0</v>
      </c>
      <c r="K43">
        <f t="shared" si="3"/>
        <v>1.901801259513314</v>
      </c>
      <c r="L43">
        <f t="shared" si="14"/>
        <v>0</v>
      </c>
      <c r="M43">
        <f t="shared" si="32"/>
        <v>0</v>
      </c>
      <c r="O43">
        <v>37</v>
      </c>
      <c r="P43" t="e">
        <f t="shared" si="15"/>
        <v>#DIV/0!</v>
      </c>
      <c r="Q43" t="e">
        <f t="shared" si="16"/>
        <v>#DIV/0!</v>
      </c>
      <c r="R43" t="e">
        <f t="shared" si="17"/>
        <v>#DIV/0!</v>
      </c>
      <c r="S43" t="e">
        <f t="shared" si="18"/>
        <v>#DIV/0!</v>
      </c>
      <c r="T43" t="e">
        <f t="shared" si="19"/>
        <v>#DIV/0!</v>
      </c>
      <c r="U43" t="e">
        <f t="shared" si="20"/>
        <v>#DIV/0!</v>
      </c>
      <c r="AF43">
        <v>37</v>
      </c>
      <c r="AG43">
        <f t="shared" si="28"/>
        <v>0.7034674224560149</v>
      </c>
      <c r="AH43">
        <f t="shared" si="29"/>
        <v>0.70346742249967065</v>
      </c>
      <c r="AI43">
        <f t="shared" si="30"/>
        <v>0.70346742247784277</v>
      </c>
      <c r="AJ43">
        <f t="shared" si="10"/>
        <v>-8.0592199580564738E-11</v>
      </c>
      <c r="AK43">
        <f t="shared" si="11"/>
        <v>2.4323876246512555E-12</v>
      </c>
      <c r="AL43">
        <f t="shared" si="12"/>
        <v>-3.907985046680551E-11</v>
      </c>
      <c r="AM43">
        <f t="shared" si="31"/>
        <v>3.1028974683241703E-9</v>
      </c>
      <c r="AN43">
        <f t="shared" si="27"/>
        <v>2.1827872842550278E-11</v>
      </c>
    </row>
    <row r="44" spans="1:40" x14ac:dyDescent="0.3">
      <c r="A44">
        <f t="shared" si="0"/>
        <v>1.9000000000000015</v>
      </c>
      <c r="B44">
        <f t="shared" si="1"/>
        <v>3.4604313807773708</v>
      </c>
      <c r="H44">
        <v>38</v>
      </c>
      <c r="I44">
        <f t="shared" si="13"/>
        <v>0.70346742249839167</v>
      </c>
      <c r="J44">
        <f t="shared" si="2"/>
        <v>0</v>
      </c>
      <c r="K44">
        <f t="shared" si="3"/>
        <v>1.901801259513314</v>
      </c>
      <c r="L44">
        <f t="shared" si="14"/>
        <v>0</v>
      </c>
      <c r="M44">
        <f t="shared" si="32"/>
        <v>0</v>
      </c>
      <c r="O44">
        <v>38</v>
      </c>
      <c r="P44" t="e">
        <f t="shared" si="15"/>
        <v>#DIV/0!</v>
      </c>
      <c r="Q44" t="e">
        <f t="shared" si="16"/>
        <v>#DIV/0!</v>
      </c>
      <c r="R44" t="e">
        <f t="shared" si="17"/>
        <v>#DIV/0!</v>
      </c>
      <c r="S44" t="e">
        <f t="shared" si="18"/>
        <v>#DIV/0!</v>
      </c>
      <c r="T44" t="e">
        <f t="shared" si="19"/>
        <v>#DIV/0!</v>
      </c>
      <c r="U44" t="e">
        <f t="shared" si="20"/>
        <v>#DIV/0!</v>
      </c>
      <c r="AF44">
        <v>38</v>
      </c>
      <c r="AG44">
        <f t="shared" si="28"/>
        <v>0.70346742247784277</v>
      </c>
      <c r="AH44">
        <f t="shared" si="29"/>
        <v>0.70346742249967065</v>
      </c>
      <c r="AI44">
        <f t="shared" si="30"/>
        <v>0.70346742248875671</v>
      </c>
      <c r="AJ44">
        <f t="shared" si="10"/>
        <v>-3.907985046680551E-11</v>
      </c>
      <c r="AK44">
        <f t="shared" si="11"/>
        <v>2.4323876246512555E-12</v>
      </c>
      <c r="AL44">
        <f t="shared" si="12"/>
        <v>-1.8323731421077127E-11</v>
      </c>
      <c r="AM44">
        <f t="shared" si="31"/>
        <v>1.5514487341380152E-9</v>
      </c>
      <c r="AN44">
        <f t="shared" si="27"/>
        <v>1.0913936421275139E-11</v>
      </c>
    </row>
    <row r="45" spans="1:40" x14ac:dyDescent="0.3">
      <c r="A45">
        <f t="shared" si="0"/>
        <v>2.0000000000000013</v>
      </c>
      <c r="B45">
        <f t="shared" si="1"/>
        <v>3.864664716763393</v>
      </c>
      <c r="H45">
        <v>39</v>
      </c>
      <c r="I45">
        <f t="shared" si="13"/>
        <v>0.70346742249839167</v>
      </c>
      <c r="J45">
        <f t="shared" si="2"/>
        <v>0</v>
      </c>
      <c r="K45">
        <f t="shared" si="3"/>
        <v>1.901801259513314</v>
      </c>
      <c r="L45">
        <f t="shared" si="14"/>
        <v>0</v>
      </c>
      <c r="M45">
        <f t="shared" si="32"/>
        <v>0</v>
      </c>
      <c r="O45">
        <v>39</v>
      </c>
      <c r="P45" t="e">
        <f t="shared" si="15"/>
        <v>#DIV/0!</v>
      </c>
      <c r="Q45" t="e">
        <f t="shared" si="16"/>
        <v>#DIV/0!</v>
      </c>
      <c r="R45" t="e">
        <f t="shared" si="17"/>
        <v>#DIV/0!</v>
      </c>
      <c r="S45" t="e">
        <f t="shared" si="18"/>
        <v>#DIV/0!</v>
      </c>
      <c r="T45" t="e">
        <f t="shared" si="19"/>
        <v>#DIV/0!</v>
      </c>
      <c r="U45" t="e">
        <f t="shared" si="20"/>
        <v>#DIV/0!</v>
      </c>
      <c r="AF45">
        <v>39</v>
      </c>
      <c r="AG45">
        <f t="shared" si="28"/>
        <v>0.70346742248875671</v>
      </c>
      <c r="AH45">
        <f t="shared" si="29"/>
        <v>0.70346742249967065</v>
      </c>
      <c r="AI45">
        <f t="shared" si="30"/>
        <v>0.70346742249421368</v>
      </c>
      <c r="AJ45">
        <f t="shared" si="10"/>
        <v>-1.8323731421077127E-11</v>
      </c>
      <c r="AK45">
        <f t="shared" si="11"/>
        <v>2.4323876246512555E-12</v>
      </c>
      <c r="AL45">
        <f t="shared" si="12"/>
        <v>-7.9456441426373203E-12</v>
      </c>
      <c r="AM45">
        <f t="shared" si="31"/>
        <v>7.7572436706298999E-10</v>
      </c>
      <c r="AN45">
        <f t="shared" si="27"/>
        <v>5.4569682106375694E-12</v>
      </c>
    </row>
    <row r="46" spans="1:40" x14ac:dyDescent="0.3">
      <c r="H46">
        <v>40</v>
      </c>
      <c r="I46">
        <f t="shared" si="13"/>
        <v>0.70346742249839167</v>
      </c>
      <c r="J46">
        <f t="shared" si="2"/>
        <v>0</v>
      </c>
      <c r="K46">
        <f t="shared" si="3"/>
        <v>1.901801259513314</v>
      </c>
      <c r="L46">
        <f t="shared" si="14"/>
        <v>0</v>
      </c>
      <c r="M46">
        <f t="shared" si="32"/>
        <v>0</v>
      </c>
      <c r="O46">
        <v>40</v>
      </c>
      <c r="P46" t="e">
        <f t="shared" si="15"/>
        <v>#DIV/0!</v>
      </c>
      <c r="Q46" t="e">
        <f t="shared" si="16"/>
        <v>#DIV/0!</v>
      </c>
      <c r="R46" t="e">
        <f t="shared" si="17"/>
        <v>#DIV/0!</v>
      </c>
      <c r="S46" t="e">
        <f t="shared" si="18"/>
        <v>#DIV/0!</v>
      </c>
      <c r="T46" t="e">
        <f t="shared" si="19"/>
        <v>#DIV/0!</v>
      </c>
      <c r="U46" t="e">
        <f t="shared" si="20"/>
        <v>#DIV/0!</v>
      </c>
      <c r="AF46">
        <v>40</v>
      </c>
      <c r="AG46">
        <f t="shared" si="28"/>
        <v>0.70346742249421368</v>
      </c>
      <c r="AH46">
        <f t="shared" si="29"/>
        <v>0.70346742249967065</v>
      </c>
      <c r="AI46">
        <f t="shared" si="30"/>
        <v>0.70346742249694216</v>
      </c>
      <c r="AJ46">
        <f t="shared" si="10"/>
        <v>-7.9456441426373203E-12</v>
      </c>
      <c r="AK46">
        <f t="shared" si="11"/>
        <v>2.4323876246512555E-12</v>
      </c>
      <c r="AL46">
        <f t="shared" si="12"/>
        <v>-2.7566282589930324E-12</v>
      </c>
      <c r="AM46">
        <f t="shared" si="31"/>
        <v>3.8786218352999066E-10</v>
      </c>
      <c r="AN46">
        <f t="shared" si="27"/>
        <v>2.7284841053187847E-12</v>
      </c>
    </row>
    <row r="47" spans="1:40" x14ac:dyDescent="0.3">
      <c r="H47">
        <v>41</v>
      </c>
      <c r="I47">
        <f t="shared" si="13"/>
        <v>0.70346742249839167</v>
      </c>
      <c r="J47">
        <f t="shared" si="2"/>
        <v>0</v>
      </c>
      <c r="K47">
        <f t="shared" si="3"/>
        <v>1.901801259513314</v>
      </c>
      <c r="L47">
        <f t="shared" si="14"/>
        <v>0</v>
      </c>
      <c r="M47">
        <f t="shared" si="32"/>
        <v>0</v>
      </c>
      <c r="O47">
        <v>41</v>
      </c>
      <c r="P47" t="e">
        <f t="shared" si="15"/>
        <v>#DIV/0!</v>
      </c>
      <c r="Q47" t="e">
        <f t="shared" si="16"/>
        <v>#DIV/0!</v>
      </c>
      <c r="R47" t="e">
        <f t="shared" si="17"/>
        <v>#DIV/0!</v>
      </c>
      <c r="S47" t="e">
        <f t="shared" si="18"/>
        <v>#DIV/0!</v>
      </c>
      <c r="T47" t="e">
        <f t="shared" si="19"/>
        <v>#DIV/0!</v>
      </c>
      <c r="U47" t="e">
        <f t="shared" si="20"/>
        <v>#DIV/0!</v>
      </c>
      <c r="AF47">
        <v>41</v>
      </c>
      <c r="AG47">
        <f t="shared" si="28"/>
        <v>0.70346742249694216</v>
      </c>
      <c r="AH47">
        <f t="shared" si="29"/>
        <v>0.70346742249967065</v>
      </c>
      <c r="AI47">
        <f t="shared" si="30"/>
        <v>0.70346742249830641</v>
      </c>
      <c r="AJ47">
        <f t="shared" si="10"/>
        <v>-2.7566282589930324E-12</v>
      </c>
      <c r="AK47">
        <f t="shared" si="11"/>
        <v>2.4323876246512555E-12</v>
      </c>
      <c r="AL47">
        <f t="shared" si="12"/>
        <v>-1.6214807274650411E-13</v>
      </c>
      <c r="AM47">
        <f t="shared" si="31"/>
        <v>1.9393109176461925E-10</v>
      </c>
      <c r="AN47">
        <f t="shared" si="27"/>
        <v>1.3642420526593924E-12</v>
      </c>
    </row>
    <row r="48" spans="1:40" x14ac:dyDescent="0.3">
      <c r="H48">
        <v>42</v>
      </c>
      <c r="I48">
        <f t="shared" si="13"/>
        <v>0.70346742249839167</v>
      </c>
      <c r="J48">
        <f t="shared" si="2"/>
        <v>0</v>
      </c>
      <c r="K48">
        <f t="shared" si="3"/>
        <v>1.901801259513314</v>
      </c>
      <c r="L48">
        <f t="shared" si="14"/>
        <v>0</v>
      </c>
      <c r="M48">
        <f t="shared" si="32"/>
        <v>0</v>
      </c>
      <c r="O48">
        <v>42</v>
      </c>
      <c r="P48" t="e">
        <f t="shared" si="15"/>
        <v>#DIV/0!</v>
      </c>
      <c r="Q48" t="e">
        <f t="shared" si="16"/>
        <v>#DIV/0!</v>
      </c>
      <c r="R48" t="e">
        <f t="shared" si="17"/>
        <v>#DIV/0!</v>
      </c>
      <c r="S48" t="e">
        <f t="shared" si="18"/>
        <v>#DIV/0!</v>
      </c>
      <c r="T48" t="e">
        <f t="shared" si="19"/>
        <v>#DIV/0!</v>
      </c>
      <c r="U48" t="e">
        <f t="shared" si="20"/>
        <v>#DIV/0!</v>
      </c>
      <c r="AF48">
        <v>42</v>
      </c>
      <c r="AG48">
        <f t="shared" si="28"/>
        <v>0.70346742249830641</v>
      </c>
      <c r="AH48">
        <f t="shared" si="29"/>
        <v>0.70346742249967065</v>
      </c>
      <c r="AI48">
        <f t="shared" si="30"/>
        <v>0.70346742249898853</v>
      </c>
      <c r="AJ48">
        <f t="shared" si="10"/>
        <v>-1.6214807274650411E-13</v>
      </c>
      <c r="AK48">
        <f t="shared" si="11"/>
        <v>2.4323876246512555E-12</v>
      </c>
      <c r="AL48">
        <f t="shared" si="12"/>
        <v>1.13509202037676E-12</v>
      </c>
      <c r="AM48">
        <f t="shared" si="31"/>
        <v>9.6965545882215597E-11</v>
      </c>
      <c r="AN48">
        <f t="shared" si="27"/>
        <v>6.8212102632969618E-13</v>
      </c>
    </row>
    <row r="49" spans="8:40" x14ac:dyDescent="0.3">
      <c r="H49">
        <v>43</v>
      </c>
      <c r="I49">
        <f t="shared" si="13"/>
        <v>0.70346742249839167</v>
      </c>
      <c r="J49">
        <f t="shared" si="2"/>
        <v>0</v>
      </c>
      <c r="K49">
        <f t="shared" si="3"/>
        <v>1.901801259513314</v>
      </c>
      <c r="L49">
        <f t="shared" si="14"/>
        <v>0</v>
      </c>
      <c r="M49">
        <f t="shared" si="32"/>
        <v>0</v>
      </c>
      <c r="O49">
        <v>43</v>
      </c>
      <c r="P49" t="e">
        <f t="shared" si="15"/>
        <v>#DIV/0!</v>
      </c>
      <c r="Q49" t="e">
        <f t="shared" si="16"/>
        <v>#DIV/0!</v>
      </c>
      <c r="R49" t="e">
        <f t="shared" si="17"/>
        <v>#DIV/0!</v>
      </c>
      <c r="S49" t="e">
        <f t="shared" si="18"/>
        <v>#DIV/0!</v>
      </c>
      <c r="T49" t="e">
        <f t="shared" si="19"/>
        <v>#DIV/0!</v>
      </c>
      <c r="U49" t="e">
        <f t="shared" si="20"/>
        <v>#DIV/0!</v>
      </c>
      <c r="AF49">
        <v>43</v>
      </c>
      <c r="AG49">
        <f t="shared" si="28"/>
        <v>0.70346742249830641</v>
      </c>
      <c r="AH49">
        <f t="shared" si="29"/>
        <v>0.70346742249898853</v>
      </c>
      <c r="AI49">
        <f t="shared" si="30"/>
        <v>0.70346742249864747</v>
      </c>
      <c r="AJ49">
        <f t="shared" si="10"/>
        <v>-1.6214807274650411E-13</v>
      </c>
      <c r="AK49">
        <f t="shared" si="11"/>
        <v>1.13509202037676E-12</v>
      </c>
      <c r="AL49">
        <f t="shared" si="12"/>
        <v>4.864997293907436E-13</v>
      </c>
      <c r="AM49">
        <f t="shared" si="31"/>
        <v>4.8482772941131309E-11</v>
      </c>
      <c r="AN49">
        <f t="shared" si="27"/>
        <v>3.4106051316484809E-13</v>
      </c>
    </row>
    <row r="50" spans="8:40" x14ac:dyDescent="0.3">
      <c r="H50">
        <v>44</v>
      </c>
      <c r="I50">
        <f t="shared" si="13"/>
        <v>0.70346742249839167</v>
      </c>
      <c r="J50">
        <f t="shared" si="2"/>
        <v>0</v>
      </c>
      <c r="K50">
        <f t="shared" si="3"/>
        <v>1.901801259513314</v>
      </c>
      <c r="L50">
        <f t="shared" si="14"/>
        <v>0</v>
      </c>
      <c r="M50">
        <f t="shared" si="32"/>
        <v>0</v>
      </c>
      <c r="O50">
        <v>44</v>
      </c>
      <c r="P50" t="e">
        <f t="shared" si="15"/>
        <v>#DIV/0!</v>
      </c>
      <c r="Q50" t="e">
        <f t="shared" si="16"/>
        <v>#DIV/0!</v>
      </c>
      <c r="R50" t="e">
        <f t="shared" si="17"/>
        <v>#DIV/0!</v>
      </c>
      <c r="S50" t="e">
        <f t="shared" si="18"/>
        <v>#DIV/0!</v>
      </c>
      <c r="T50" t="e">
        <f t="shared" si="19"/>
        <v>#DIV/0!</v>
      </c>
      <c r="U50" t="e">
        <f t="shared" si="20"/>
        <v>#DIV/0!</v>
      </c>
      <c r="AF50">
        <v>44</v>
      </c>
      <c r="AG50">
        <f t="shared" si="28"/>
        <v>0.70346742249830641</v>
      </c>
      <c r="AH50">
        <f t="shared" si="29"/>
        <v>0.70346742249864747</v>
      </c>
      <c r="AI50">
        <f t="shared" si="30"/>
        <v>0.70346742249847694</v>
      </c>
      <c r="AJ50">
        <f t="shared" si="10"/>
        <v>-1.6214807274650411E-13</v>
      </c>
      <c r="AK50">
        <f t="shared" si="11"/>
        <v>4.864997293907436E-13</v>
      </c>
      <c r="AL50">
        <f t="shared" si="12"/>
        <v>1.6220358389773537E-13</v>
      </c>
      <c r="AM50">
        <f t="shared" si="31"/>
        <v>2.4241386470571532E-11</v>
      </c>
      <c r="AN50">
        <f t="shared" si="27"/>
        <v>1.7053025658242404E-13</v>
      </c>
    </row>
    <row r="51" spans="8:40" x14ac:dyDescent="0.3">
      <c r="H51">
        <v>45</v>
      </c>
      <c r="I51">
        <f t="shared" si="13"/>
        <v>0.70346742249839167</v>
      </c>
      <c r="J51">
        <f t="shared" si="2"/>
        <v>0</v>
      </c>
      <c r="K51">
        <f t="shared" si="3"/>
        <v>1.901801259513314</v>
      </c>
      <c r="L51">
        <f t="shared" si="14"/>
        <v>0</v>
      </c>
      <c r="M51">
        <f t="shared" si="32"/>
        <v>0</v>
      </c>
      <c r="O51">
        <v>45</v>
      </c>
      <c r="P51" t="e">
        <f t="shared" si="15"/>
        <v>#DIV/0!</v>
      </c>
      <c r="Q51" t="e">
        <f t="shared" si="16"/>
        <v>#DIV/0!</v>
      </c>
      <c r="R51" t="e">
        <f t="shared" si="17"/>
        <v>#DIV/0!</v>
      </c>
      <c r="S51" t="e">
        <f t="shared" si="18"/>
        <v>#DIV/0!</v>
      </c>
      <c r="T51" t="e">
        <f t="shared" si="19"/>
        <v>#DIV/0!</v>
      </c>
      <c r="U51" t="e">
        <f t="shared" si="20"/>
        <v>#DIV/0!</v>
      </c>
      <c r="AF51">
        <v>45</v>
      </c>
      <c r="AG51">
        <f t="shared" si="28"/>
        <v>0.70346742249830641</v>
      </c>
      <c r="AH51">
        <f t="shared" si="29"/>
        <v>0.70346742249847694</v>
      </c>
      <c r="AI51">
        <f t="shared" si="30"/>
        <v>0.70346742249839167</v>
      </c>
      <c r="AJ51">
        <f t="shared" si="10"/>
        <v>-1.6214807274650411E-13</v>
      </c>
      <c r="AK51">
        <f t="shared" si="11"/>
        <v>1.6220358389773537E-13</v>
      </c>
      <c r="AL51">
        <f t="shared" si="12"/>
        <v>0</v>
      </c>
      <c r="AM51">
        <f t="shared" si="31"/>
        <v>1.2120693235287234E-11</v>
      </c>
      <c r="AN51">
        <f t="shared" si="27"/>
        <v>8.5265128291212022E-14</v>
      </c>
    </row>
    <row r="52" spans="8:40" x14ac:dyDescent="0.3">
      <c r="H52">
        <v>46</v>
      </c>
      <c r="I52">
        <f t="shared" si="13"/>
        <v>0.70346742249839167</v>
      </c>
      <c r="J52">
        <f t="shared" si="2"/>
        <v>0</v>
      </c>
      <c r="K52">
        <f t="shared" si="3"/>
        <v>1.901801259513314</v>
      </c>
      <c r="L52">
        <f t="shared" si="14"/>
        <v>0</v>
      </c>
      <c r="M52">
        <f t="shared" si="32"/>
        <v>0</v>
      </c>
      <c r="O52">
        <v>46</v>
      </c>
      <c r="P52" t="e">
        <f t="shared" si="15"/>
        <v>#DIV/0!</v>
      </c>
      <c r="Q52" t="e">
        <f t="shared" si="16"/>
        <v>#DIV/0!</v>
      </c>
      <c r="R52" t="e">
        <f t="shared" si="17"/>
        <v>#DIV/0!</v>
      </c>
      <c r="S52" t="e">
        <f t="shared" si="18"/>
        <v>#DIV/0!</v>
      </c>
      <c r="T52" t="e">
        <f t="shared" si="19"/>
        <v>#DIV/0!</v>
      </c>
      <c r="U52" t="e">
        <f t="shared" si="20"/>
        <v>#DIV/0!</v>
      </c>
      <c r="AF52">
        <v>46</v>
      </c>
      <c r="AG52">
        <f t="shared" si="28"/>
        <v>0.70346742249830641</v>
      </c>
      <c r="AH52">
        <f t="shared" si="29"/>
        <v>0.70346742249847694</v>
      </c>
      <c r="AI52">
        <f t="shared" si="30"/>
        <v>0.70346742249839167</v>
      </c>
      <c r="AJ52">
        <f t="shared" si="10"/>
        <v>-1.6214807274650411E-13</v>
      </c>
      <c r="AK52">
        <f t="shared" si="11"/>
        <v>1.6220358389773537E-13</v>
      </c>
      <c r="AL52">
        <f t="shared" si="12"/>
        <v>0</v>
      </c>
      <c r="AM52">
        <f t="shared" si="31"/>
        <v>0</v>
      </c>
      <c r="AN52">
        <f t="shared" si="27"/>
        <v>0</v>
      </c>
    </row>
    <row r="53" spans="8:40" x14ac:dyDescent="0.3">
      <c r="H53">
        <v>47</v>
      </c>
      <c r="I53">
        <f t="shared" si="13"/>
        <v>0.70346742249839167</v>
      </c>
      <c r="J53">
        <f t="shared" si="2"/>
        <v>0</v>
      </c>
      <c r="K53">
        <f t="shared" si="3"/>
        <v>1.901801259513314</v>
      </c>
      <c r="L53">
        <f t="shared" si="14"/>
        <v>0</v>
      </c>
      <c r="M53">
        <f t="shared" si="32"/>
        <v>0</v>
      </c>
      <c r="O53">
        <v>47</v>
      </c>
      <c r="P53" t="e">
        <f t="shared" si="15"/>
        <v>#DIV/0!</v>
      </c>
      <c r="Q53" t="e">
        <f t="shared" si="16"/>
        <v>#DIV/0!</v>
      </c>
      <c r="R53" t="e">
        <f t="shared" si="17"/>
        <v>#DIV/0!</v>
      </c>
      <c r="S53" t="e">
        <f t="shared" si="18"/>
        <v>#DIV/0!</v>
      </c>
      <c r="T53" t="e">
        <f t="shared" si="19"/>
        <v>#DIV/0!</v>
      </c>
      <c r="U53" t="e">
        <f t="shared" si="20"/>
        <v>#DIV/0!</v>
      </c>
      <c r="AF53">
        <v>47</v>
      </c>
      <c r="AG53">
        <f t="shared" si="28"/>
        <v>0.70346742249830641</v>
      </c>
      <c r="AH53">
        <f t="shared" si="29"/>
        <v>0.70346742249847694</v>
      </c>
      <c r="AI53">
        <f t="shared" si="30"/>
        <v>0.70346742249839167</v>
      </c>
      <c r="AJ53">
        <f t="shared" si="10"/>
        <v>-1.6214807274650411E-13</v>
      </c>
      <c r="AK53">
        <f t="shared" si="11"/>
        <v>1.6220358389773537E-13</v>
      </c>
      <c r="AL53">
        <f t="shared" si="12"/>
        <v>0</v>
      </c>
      <c r="AM53">
        <f t="shared" si="31"/>
        <v>0</v>
      </c>
      <c r="AN53">
        <f t="shared" si="27"/>
        <v>0</v>
      </c>
    </row>
    <row r="54" spans="8:40" x14ac:dyDescent="0.3">
      <c r="H54">
        <v>48</v>
      </c>
      <c r="I54">
        <f t="shared" si="13"/>
        <v>0.70346742249839167</v>
      </c>
      <c r="J54">
        <f t="shared" si="2"/>
        <v>0</v>
      </c>
      <c r="K54">
        <f t="shared" si="3"/>
        <v>1.901801259513314</v>
      </c>
      <c r="L54">
        <f t="shared" si="14"/>
        <v>0</v>
      </c>
      <c r="M54">
        <f t="shared" si="32"/>
        <v>0</v>
      </c>
      <c r="O54">
        <v>48</v>
      </c>
      <c r="P54" t="e">
        <f t="shared" si="15"/>
        <v>#DIV/0!</v>
      </c>
      <c r="Q54" t="e">
        <f t="shared" si="16"/>
        <v>#DIV/0!</v>
      </c>
      <c r="R54" t="e">
        <f t="shared" si="17"/>
        <v>#DIV/0!</v>
      </c>
      <c r="S54" t="e">
        <f t="shared" si="18"/>
        <v>#DIV/0!</v>
      </c>
      <c r="T54" t="e">
        <f t="shared" si="19"/>
        <v>#DIV/0!</v>
      </c>
      <c r="U54" t="e">
        <f t="shared" si="20"/>
        <v>#DIV/0!</v>
      </c>
      <c r="AF54">
        <v>48</v>
      </c>
      <c r="AG54">
        <f t="shared" si="28"/>
        <v>0.70346742249830641</v>
      </c>
      <c r="AH54">
        <f t="shared" si="29"/>
        <v>0.70346742249847694</v>
      </c>
      <c r="AI54">
        <f t="shared" si="30"/>
        <v>0.70346742249839167</v>
      </c>
      <c r="AJ54">
        <f t="shared" si="10"/>
        <v>-1.6214807274650411E-13</v>
      </c>
      <c r="AK54">
        <f t="shared" si="11"/>
        <v>1.6220358389773537E-13</v>
      </c>
      <c r="AL54">
        <f t="shared" si="12"/>
        <v>0</v>
      </c>
      <c r="AM54">
        <f t="shared" si="31"/>
        <v>0</v>
      </c>
      <c r="AN54">
        <f t="shared" si="27"/>
        <v>0</v>
      </c>
    </row>
    <row r="55" spans="8:40" x14ac:dyDescent="0.3">
      <c r="H55">
        <v>49</v>
      </c>
      <c r="I55">
        <f t="shared" si="13"/>
        <v>0.70346742249839167</v>
      </c>
      <c r="J55">
        <f t="shared" si="2"/>
        <v>0</v>
      </c>
      <c r="K55">
        <f t="shared" si="3"/>
        <v>1.901801259513314</v>
      </c>
      <c r="L55">
        <f t="shared" si="14"/>
        <v>0</v>
      </c>
      <c r="M55">
        <f t="shared" si="32"/>
        <v>0</v>
      </c>
      <c r="O55">
        <v>49</v>
      </c>
      <c r="P55" t="e">
        <f t="shared" si="15"/>
        <v>#DIV/0!</v>
      </c>
      <c r="Q55" t="e">
        <f t="shared" si="16"/>
        <v>#DIV/0!</v>
      </c>
      <c r="R55" t="e">
        <f t="shared" si="17"/>
        <v>#DIV/0!</v>
      </c>
      <c r="S55" t="e">
        <f t="shared" si="18"/>
        <v>#DIV/0!</v>
      </c>
      <c r="T55" t="e">
        <f t="shared" si="19"/>
        <v>#DIV/0!</v>
      </c>
      <c r="U55" t="e">
        <f t="shared" si="20"/>
        <v>#DIV/0!</v>
      </c>
      <c r="AF55">
        <v>49</v>
      </c>
      <c r="AG55">
        <f t="shared" si="28"/>
        <v>0.70346742249830641</v>
      </c>
      <c r="AH55">
        <f t="shared" si="29"/>
        <v>0.70346742249847694</v>
      </c>
      <c r="AI55">
        <f t="shared" si="30"/>
        <v>0.70346742249839167</v>
      </c>
      <c r="AJ55">
        <f t="shared" si="10"/>
        <v>-1.6214807274650411E-13</v>
      </c>
      <c r="AK55">
        <f t="shared" si="11"/>
        <v>1.6220358389773537E-13</v>
      </c>
      <c r="AL55">
        <f t="shared" si="12"/>
        <v>0</v>
      </c>
      <c r="AM55">
        <f t="shared" si="31"/>
        <v>0</v>
      </c>
      <c r="AN55">
        <f t="shared" si="27"/>
        <v>0</v>
      </c>
    </row>
    <row r="56" spans="8:40" x14ac:dyDescent="0.3">
      <c r="H56">
        <v>50</v>
      </c>
      <c r="I56">
        <f t="shared" si="13"/>
        <v>0.70346742249839167</v>
      </c>
      <c r="J56">
        <f t="shared" si="2"/>
        <v>0</v>
      </c>
      <c r="K56">
        <f t="shared" si="3"/>
        <v>1.901801259513314</v>
      </c>
      <c r="L56">
        <f t="shared" si="14"/>
        <v>0</v>
      </c>
      <c r="M56">
        <f t="shared" si="32"/>
        <v>0</v>
      </c>
      <c r="O56">
        <v>50</v>
      </c>
      <c r="P56" t="e">
        <f t="shared" si="15"/>
        <v>#DIV/0!</v>
      </c>
      <c r="Q56" t="e">
        <f t="shared" si="16"/>
        <v>#DIV/0!</v>
      </c>
      <c r="R56" t="e">
        <f t="shared" si="17"/>
        <v>#DIV/0!</v>
      </c>
      <c r="S56" t="e">
        <f t="shared" si="18"/>
        <v>#DIV/0!</v>
      </c>
      <c r="T56" t="e">
        <f t="shared" si="19"/>
        <v>#DIV/0!</v>
      </c>
      <c r="U56" t="e">
        <f t="shared" si="20"/>
        <v>#DIV/0!</v>
      </c>
      <c r="AF56">
        <v>50</v>
      </c>
      <c r="AG56">
        <f t="shared" si="28"/>
        <v>0.70346742249830641</v>
      </c>
      <c r="AH56">
        <f t="shared" si="29"/>
        <v>0.70346742249847694</v>
      </c>
      <c r="AI56">
        <f t="shared" si="30"/>
        <v>0.70346742249839167</v>
      </c>
      <c r="AJ56">
        <f t="shared" si="10"/>
        <v>-1.6214807274650411E-13</v>
      </c>
      <c r="AK56">
        <f t="shared" si="11"/>
        <v>1.6220358389773537E-13</v>
      </c>
      <c r="AL56">
        <f t="shared" si="12"/>
        <v>0</v>
      </c>
      <c r="AM56">
        <f t="shared" si="31"/>
        <v>0</v>
      </c>
      <c r="AN56">
        <f t="shared" si="27"/>
        <v>0</v>
      </c>
    </row>
    <row r="57" spans="8:40" x14ac:dyDescent="0.3">
      <c r="H57">
        <v>51</v>
      </c>
      <c r="I57">
        <f t="shared" si="13"/>
        <v>0.70346742249839167</v>
      </c>
      <c r="J57">
        <f t="shared" si="2"/>
        <v>0</v>
      </c>
      <c r="K57">
        <f t="shared" si="3"/>
        <v>1.901801259513314</v>
      </c>
      <c r="L57">
        <f t="shared" si="14"/>
        <v>0</v>
      </c>
      <c r="M57">
        <f t="shared" si="32"/>
        <v>0</v>
      </c>
      <c r="O57">
        <v>51</v>
      </c>
      <c r="P57" t="e">
        <f t="shared" si="15"/>
        <v>#DIV/0!</v>
      </c>
      <c r="Q57" t="e">
        <f t="shared" si="16"/>
        <v>#DIV/0!</v>
      </c>
      <c r="R57" t="e">
        <f t="shared" si="17"/>
        <v>#DIV/0!</v>
      </c>
      <c r="S57" t="e">
        <f t="shared" si="18"/>
        <v>#DIV/0!</v>
      </c>
      <c r="T57" t="e">
        <f t="shared" si="19"/>
        <v>#DIV/0!</v>
      </c>
      <c r="U57" t="e">
        <f t="shared" si="20"/>
        <v>#DIV/0!</v>
      </c>
      <c r="AF57">
        <v>51</v>
      </c>
      <c r="AG57">
        <f t="shared" si="28"/>
        <v>0.70346742249830641</v>
      </c>
      <c r="AH57">
        <f t="shared" si="29"/>
        <v>0.70346742249847694</v>
      </c>
      <c r="AI57">
        <f t="shared" si="30"/>
        <v>0.70346742249839167</v>
      </c>
      <c r="AJ57">
        <f t="shared" si="10"/>
        <v>-1.6214807274650411E-13</v>
      </c>
      <c r="AK57">
        <f t="shared" si="11"/>
        <v>1.6220358389773537E-13</v>
      </c>
      <c r="AL57">
        <f t="shared" si="12"/>
        <v>0</v>
      </c>
      <c r="AM57">
        <f t="shared" si="31"/>
        <v>0</v>
      </c>
      <c r="AN57">
        <f t="shared" si="27"/>
        <v>0</v>
      </c>
    </row>
    <row r="58" spans="8:40" x14ac:dyDescent="0.3">
      <c r="H58">
        <v>52</v>
      </c>
      <c r="I58">
        <f t="shared" si="13"/>
        <v>0.70346742249839167</v>
      </c>
      <c r="J58">
        <f t="shared" si="2"/>
        <v>0</v>
      </c>
      <c r="K58">
        <f t="shared" si="3"/>
        <v>1.901801259513314</v>
      </c>
      <c r="L58">
        <f t="shared" si="14"/>
        <v>0</v>
      </c>
      <c r="M58">
        <f t="shared" si="32"/>
        <v>0</v>
      </c>
      <c r="O58">
        <v>52</v>
      </c>
      <c r="P58" t="e">
        <f t="shared" si="15"/>
        <v>#DIV/0!</v>
      </c>
      <c r="Q58" t="e">
        <f t="shared" si="16"/>
        <v>#DIV/0!</v>
      </c>
      <c r="R58" t="e">
        <f t="shared" si="17"/>
        <v>#DIV/0!</v>
      </c>
      <c r="S58" t="e">
        <f t="shared" si="18"/>
        <v>#DIV/0!</v>
      </c>
      <c r="T58" t="e">
        <f t="shared" si="19"/>
        <v>#DIV/0!</v>
      </c>
      <c r="U58" t="e">
        <f t="shared" si="20"/>
        <v>#DIV/0!</v>
      </c>
      <c r="AF58">
        <v>52</v>
      </c>
      <c r="AG58">
        <f t="shared" si="28"/>
        <v>0.70346742249830641</v>
      </c>
      <c r="AH58">
        <f t="shared" si="29"/>
        <v>0.70346742249847694</v>
      </c>
      <c r="AI58">
        <f t="shared" si="30"/>
        <v>0.70346742249839167</v>
      </c>
      <c r="AJ58">
        <f t="shared" si="10"/>
        <v>-1.6214807274650411E-13</v>
      </c>
      <c r="AK58">
        <f t="shared" si="11"/>
        <v>1.6220358389773537E-13</v>
      </c>
      <c r="AL58">
        <f t="shared" si="12"/>
        <v>0</v>
      </c>
      <c r="AM58">
        <f t="shared" si="31"/>
        <v>0</v>
      </c>
      <c r="AN58">
        <f t="shared" si="27"/>
        <v>0</v>
      </c>
    </row>
    <row r="59" spans="8:40" x14ac:dyDescent="0.3">
      <c r="H59">
        <v>53</v>
      </c>
      <c r="I59">
        <f t="shared" si="13"/>
        <v>0.70346742249839167</v>
      </c>
      <c r="J59">
        <f t="shared" si="2"/>
        <v>0</v>
      </c>
      <c r="K59">
        <f t="shared" si="3"/>
        <v>1.901801259513314</v>
      </c>
      <c r="L59">
        <f t="shared" si="14"/>
        <v>0</v>
      </c>
      <c r="M59">
        <f t="shared" si="32"/>
        <v>0</v>
      </c>
      <c r="O59">
        <v>53</v>
      </c>
      <c r="P59" t="e">
        <f t="shared" si="15"/>
        <v>#DIV/0!</v>
      </c>
      <c r="Q59" t="e">
        <f t="shared" si="16"/>
        <v>#DIV/0!</v>
      </c>
      <c r="R59" t="e">
        <f t="shared" si="17"/>
        <v>#DIV/0!</v>
      </c>
      <c r="S59" t="e">
        <f t="shared" si="18"/>
        <v>#DIV/0!</v>
      </c>
      <c r="T59" t="e">
        <f t="shared" si="19"/>
        <v>#DIV/0!</v>
      </c>
      <c r="U59" t="e">
        <f t="shared" si="20"/>
        <v>#DIV/0!</v>
      </c>
      <c r="AF59">
        <v>53</v>
      </c>
      <c r="AG59">
        <f t="shared" si="28"/>
        <v>0.70346742249830641</v>
      </c>
      <c r="AH59">
        <f t="shared" si="29"/>
        <v>0.70346742249847694</v>
      </c>
      <c r="AI59">
        <f t="shared" si="30"/>
        <v>0.70346742249839167</v>
      </c>
      <c r="AJ59">
        <f t="shared" si="10"/>
        <v>-1.6214807274650411E-13</v>
      </c>
      <c r="AK59">
        <f t="shared" si="11"/>
        <v>1.6220358389773537E-13</v>
      </c>
      <c r="AL59">
        <f t="shared" si="12"/>
        <v>0</v>
      </c>
      <c r="AM59">
        <f t="shared" si="31"/>
        <v>0</v>
      </c>
      <c r="AN59">
        <f t="shared" si="27"/>
        <v>0</v>
      </c>
    </row>
    <row r="60" spans="8:40" x14ac:dyDescent="0.3">
      <c r="H60">
        <v>54</v>
      </c>
      <c r="I60">
        <f t="shared" si="13"/>
        <v>0.70346742249839167</v>
      </c>
      <c r="J60">
        <f t="shared" si="2"/>
        <v>0</v>
      </c>
      <c r="K60">
        <f t="shared" si="3"/>
        <v>1.901801259513314</v>
      </c>
      <c r="L60">
        <f t="shared" si="14"/>
        <v>0</v>
      </c>
      <c r="M60">
        <f t="shared" si="32"/>
        <v>0</v>
      </c>
      <c r="O60">
        <v>54</v>
      </c>
      <c r="P60" t="e">
        <f t="shared" si="15"/>
        <v>#DIV/0!</v>
      </c>
      <c r="Q60" t="e">
        <f t="shared" si="16"/>
        <v>#DIV/0!</v>
      </c>
      <c r="R60" t="e">
        <f t="shared" si="17"/>
        <v>#DIV/0!</v>
      </c>
      <c r="S60" t="e">
        <f t="shared" si="18"/>
        <v>#DIV/0!</v>
      </c>
      <c r="T60" t="e">
        <f t="shared" si="19"/>
        <v>#DIV/0!</v>
      </c>
      <c r="U60" t="e">
        <f t="shared" si="20"/>
        <v>#DIV/0!</v>
      </c>
      <c r="AF60">
        <v>54</v>
      </c>
      <c r="AG60">
        <f t="shared" si="28"/>
        <v>0.70346742249830641</v>
      </c>
      <c r="AH60">
        <f t="shared" si="29"/>
        <v>0.70346742249847694</v>
      </c>
      <c r="AI60">
        <f t="shared" si="30"/>
        <v>0.70346742249839167</v>
      </c>
      <c r="AJ60">
        <f t="shared" si="10"/>
        <v>-1.6214807274650411E-13</v>
      </c>
      <c r="AK60">
        <f t="shared" si="11"/>
        <v>1.6220358389773537E-13</v>
      </c>
      <c r="AL60">
        <f t="shared" si="12"/>
        <v>0</v>
      </c>
      <c r="AM60">
        <f t="shared" si="31"/>
        <v>0</v>
      </c>
      <c r="AN60">
        <f t="shared" si="27"/>
        <v>0</v>
      </c>
    </row>
    <row r="61" spans="8:40" x14ac:dyDescent="0.3">
      <c r="AF61">
        <v>55</v>
      </c>
      <c r="AG61">
        <f t="shared" si="28"/>
        <v>0.70346742249830641</v>
      </c>
      <c r="AH61">
        <f t="shared" si="29"/>
        <v>0.70346742249847694</v>
      </c>
      <c r="AI61">
        <f t="shared" si="30"/>
        <v>0.70346742249839167</v>
      </c>
      <c r="AJ61">
        <f t="shared" si="10"/>
        <v>-1.6214807274650411E-13</v>
      </c>
      <c r="AK61">
        <f t="shared" si="11"/>
        <v>1.6220358389773537E-13</v>
      </c>
      <c r="AL61">
        <f t="shared" si="12"/>
        <v>0</v>
      </c>
      <c r="AM61">
        <f t="shared" si="31"/>
        <v>0</v>
      </c>
      <c r="AN61">
        <f t="shared" si="27"/>
        <v>0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1"/>
  <sheetViews>
    <sheetView zoomScale="130" zoomScaleNormal="130" workbookViewId="0">
      <selection activeCell="J7" sqref="J7"/>
    </sheetView>
  </sheetViews>
  <sheetFormatPr defaultRowHeight="14.4" x14ac:dyDescent="0.3"/>
  <cols>
    <col min="8" max="8" width="3.5546875" customWidth="1"/>
    <col min="9" max="11" width="9.109375" customWidth="1"/>
    <col min="12" max="12" width="13.6640625" bestFit="1" customWidth="1"/>
    <col min="13" max="15" width="13.6640625" customWidth="1"/>
    <col min="16" max="16" width="16.6640625" bestFit="1" customWidth="1"/>
    <col min="17" max="17" width="3" customWidth="1"/>
  </cols>
  <sheetData>
    <row r="1" spans="1:26" x14ac:dyDescent="0.3">
      <c r="A1" s="9" t="s">
        <v>28</v>
      </c>
      <c r="I1" t="s">
        <v>31</v>
      </c>
    </row>
    <row r="2" spans="1:26" x14ac:dyDescent="0.3">
      <c r="I2" t="s">
        <v>32</v>
      </c>
    </row>
    <row r="3" spans="1:26" x14ac:dyDescent="0.3">
      <c r="I3" s="7" t="s">
        <v>23</v>
      </c>
      <c r="R3" s="7" t="s">
        <v>23</v>
      </c>
    </row>
    <row r="4" spans="1:26" x14ac:dyDescent="0.3">
      <c r="A4" t="s">
        <v>1</v>
      </c>
      <c r="B4" t="s">
        <v>7</v>
      </c>
      <c r="I4" s="7" t="s">
        <v>19</v>
      </c>
      <c r="J4" s="7"/>
      <c r="K4" s="7"/>
      <c r="L4" s="7"/>
      <c r="R4" s="7" t="s">
        <v>11</v>
      </c>
      <c r="S4" s="7"/>
      <c r="T4" s="7"/>
    </row>
    <row r="5" spans="1:26" x14ac:dyDescent="0.3">
      <c r="A5">
        <v>-2</v>
      </c>
      <c r="B5">
        <f>EXP(-A5)-A5</f>
        <v>9.3890560989306504</v>
      </c>
    </row>
    <row r="6" spans="1:26" x14ac:dyDescent="0.3">
      <c r="A6">
        <f>+A5+0.1</f>
        <v>-1.9</v>
      </c>
      <c r="B6">
        <f t="shared" ref="B6:B45" si="0">EXP(-A6)-A6</f>
        <v>8.5858944422792689</v>
      </c>
      <c r="H6" s="1"/>
      <c r="I6" t="s">
        <v>6</v>
      </c>
      <c r="J6" s="2" t="s">
        <v>9</v>
      </c>
      <c r="K6" s="2" t="s">
        <v>20</v>
      </c>
      <c r="L6" s="3" t="s">
        <v>21</v>
      </c>
      <c r="M6" s="8" t="s">
        <v>29</v>
      </c>
      <c r="N6" s="3" t="s">
        <v>1</v>
      </c>
      <c r="O6" s="3" t="s">
        <v>1</v>
      </c>
      <c r="P6" s="3" t="s">
        <v>30</v>
      </c>
      <c r="Q6" s="1"/>
      <c r="R6" t="s">
        <v>6</v>
      </c>
      <c r="S6" t="s">
        <v>12</v>
      </c>
      <c r="T6" t="s">
        <v>13</v>
      </c>
      <c r="U6" t="s">
        <v>14</v>
      </c>
      <c r="V6" t="s">
        <v>15</v>
      </c>
      <c r="W6" t="s">
        <v>16</v>
      </c>
      <c r="X6" t="s">
        <v>17</v>
      </c>
      <c r="Y6" s="1" t="s">
        <v>10</v>
      </c>
      <c r="Z6" s="1" t="s">
        <v>18</v>
      </c>
    </row>
    <row r="7" spans="1:26" x14ac:dyDescent="0.3">
      <c r="A7">
        <f t="shared" ref="A7:A45" si="1">+A6+0.1</f>
        <v>-1.7999999999999998</v>
      </c>
      <c r="B7">
        <f t="shared" si="0"/>
        <v>7.8496474644129446</v>
      </c>
      <c r="I7">
        <v>1</v>
      </c>
      <c r="J7" s="4">
        <v>-0.5</v>
      </c>
      <c r="K7">
        <f>EXP(-J7)</f>
        <v>1.6487212707001282</v>
      </c>
      <c r="L7" s="5">
        <f>+ABS((K7-J7)/K7*100)</f>
        <v>130.32653298563167</v>
      </c>
      <c r="M7" s="5">
        <f>ABS(-EXP(-J7))</f>
        <v>1.6487212707001282</v>
      </c>
      <c r="N7">
        <v>-1</v>
      </c>
      <c r="O7">
        <f>+N7</f>
        <v>-1</v>
      </c>
      <c r="P7" s="5">
        <f>EXP(-N7)</f>
        <v>2.7182818284590451</v>
      </c>
      <c r="R7">
        <v>1</v>
      </c>
      <c r="S7">
        <v>-2</v>
      </c>
      <c r="T7">
        <v>1</v>
      </c>
      <c r="U7">
        <f>AVERAGE(S7:T7)</f>
        <v>-0.5</v>
      </c>
      <c r="V7">
        <f>S7^2-EXP(-S7)</f>
        <v>-3.3890560989306504</v>
      </c>
      <c r="W7">
        <f>T7^2-EXP(-T7)</f>
        <v>0.63212055882855767</v>
      </c>
      <c r="X7">
        <f>U7^2-EXP(-U7)</f>
        <v>-1.3987212707001282</v>
      </c>
    </row>
    <row r="8" spans="1:26" x14ac:dyDescent="0.3">
      <c r="A8">
        <f t="shared" si="1"/>
        <v>-1.6999999999999997</v>
      </c>
      <c r="B8">
        <f t="shared" si="0"/>
        <v>7.1739473917271983</v>
      </c>
      <c r="I8">
        <v>2</v>
      </c>
      <c r="J8">
        <f>+K7</f>
        <v>1.6487212707001282</v>
      </c>
      <c r="K8">
        <f t="shared" ref="K8:K33" si="2">EXP(-J8)</f>
        <v>0.19229564554796491</v>
      </c>
      <c r="L8" s="5">
        <f t="shared" ref="L8:L33" si="3">+ABS((K8-J8)/K8*100)</f>
        <v>757.38877029791206</v>
      </c>
      <c r="M8" s="5">
        <f t="shared" ref="M8:M33" si="4">ABS(-EXP(-J8))</f>
        <v>0.19229564554796491</v>
      </c>
      <c r="N8">
        <f>+N7+0.2</f>
        <v>-0.8</v>
      </c>
      <c r="O8">
        <f t="shared" ref="O8:O33" si="5">+N8</f>
        <v>-0.8</v>
      </c>
      <c r="P8" s="5">
        <f t="shared" ref="P8:P33" si="6">EXP(-N8)</f>
        <v>2.2255409284924679</v>
      </c>
      <c r="R8">
        <v>2</v>
      </c>
      <c r="S8">
        <f>IF(V7*X7&gt;0,U7,S7)</f>
        <v>-0.5</v>
      </c>
      <c r="T8">
        <f>IF(W7*X7&gt;0,U7,T7)</f>
        <v>1</v>
      </c>
      <c r="U8">
        <f>AVERAGE(S8:T8)</f>
        <v>0.25</v>
      </c>
      <c r="V8">
        <f t="shared" ref="V8:X61" si="7">S8^2-EXP(-S8)</f>
        <v>-1.3987212707001282</v>
      </c>
      <c r="W8">
        <f t="shared" si="7"/>
        <v>0.63212055882855767</v>
      </c>
      <c r="X8">
        <f t="shared" si="7"/>
        <v>-0.71630078307140488</v>
      </c>
      <c r="Y8">
        <f>ABS((U8-U7)/U8)*100</f>
        <v>300</v>
      </c>
      <c r="Z8">
        <f>ABS(+U8-U7)</f>
        <v>0.75</v>
      </c>
    </row>
    <row r="9" spans="1:26" x14ac:dyDescent="0.3">
      <c r="A9">
        <f t="shared" si="1"/>
        <v>-1.5999999999999996</v>
      </c>
      <c r="B9">
        <f t="shared" si="0"/>
        <v>6.5530324243951128</v>
      </c>
      <c r="I9">
        <v>3</v>
      </c>
      <c r="J9">
        <f t="shared" ref="J9:J33" si="8">+K8</f>
        <v>0.19229564554796491</v>
      </c>
      <c r="K9">
        <f t="shared" si="2"/>
        <v>0.82506290625525947</v>
      </c>
      <c r="L9" s="5">
        <f t="shared" si="3"/>
        <v>76.69321404585456</v>
      </c>
      <c r="M9" s="5">
        <f t="shared" si="4"/>
        <v>0.82506290625525947</v>
      </c>
      <c r="N9">
        <f t="shared" ref="N9:N33" si="9">+N8+0.2</f>
        <v>-0.60000000000000009</v>
      </c>
      <c r="O9">
        <f t="shared" si="5"/>
        <v>-0.60000000000000009</v>
      </c>
      <c r="P9" s="5">
        <f t="shared" si="6"/>
        <v>1.8221188003905091</v>
      </c>
      <c r="R9">
        <v>3</v>
      </c>
      <c r="S9">
        <f t="shared" ref="S9:S37" si="10">IF(V8*X8&gt;0,U8,S8)</f>
        <v>0.25</v>
      </c>
      <c r="T9">
        <f t="shared" ref="T9:T37" si="11">IF(W8*X8&gt;0,U8,T8)</f>
        <v>1</v>
      </c>
      <c r="U9">
        <f t="shared" ref="U9:U37" si="12">AVERAGE(S9:T9)</f>
        <v>0.625</v>
      </c>
      <c r="V9">
        <f t="shared" si="7"/>
        <v>-0.71630078307140488</v>
      </c>
      <c r="W9">
        <f t="shared" si="7"/>
        <v>0.63212055882855767</v>
      </c>
      <c r="X9">
        <f t="shared" si="7"/>
        <v>-0.14463642851899028</v>
      </c>
      <c r="Y9">
        <f t="shared" ref="Y9:Y37" si="13">ABS((U9-U8)/U9)*100</f>
        <v>60</v>
      </c>
      <c r="Z9">
        <f t="shared" ref="Z9:Z61" si="14">ABS(+U9-U8)</f>
        <v>0.375</v>
      </c>
    </row>
    <row r="10" spans="1:26" x14ac:dyDescent="0.3">
      <c r="A10">
        <f t="shared" si="1"/>
        <v>-1.4999999999999996</v>
      </c>
      <c r="B10">
        <f t="shared" si="0"/>
        <v>5.9816890703380619</v>
      </c>
      <c r="I10">
        <v>4</v>
      </c>
      <c r="J10">
        <f t="shared" si="8"/>
        <v>0.82506290625525947</v>
      </c>
      <c r="K10">
        <f t="shared" si="2"/>
        <v>0.43820742560972253</v>
      </c>
      <c r="L10" s="5">
        <f t="shared" si="3"/>
        <v>88.281361299906223</v>
      </c>
      <c r="M10" s="5">
        <f t="shared" si="4"/>
        <v>0.43820742560972253</v>
      </c>
      <c r="N10">
        <f t="shared" si="9"/>
        <v>-0.40000000000000008</v>
      </c>
      <c r="O10">
        <f t="shared" si="5"/>
        <v>-0.40000000000000008</v>
      </c>
      <c r="P10" s="5">
        <f t="shared" si="6"/>
        <v>1.4918246976412703</v>
      </c>
      <c r="R10">
        <v>4</v>
      </c>
      <c r="S10">
        <f t="shared" si="10"/>
        <v>0.625</v>
      </c>
      <c r="T10">
        <f t="shared" si="11"/>
        <v>1</v>
      </c>
      <c r="U10">
        <f t="shared" si="12"/>
        <v>0.8125</v>
      </c>
      <c r="V10">
        <f t="shared" si="7"/>
        <v>-0.14463642851899028</v>
      </c>
      <c r="W10">
        <f t="shared" si="7"/>
        <v>0.63212055882855767</v>
      </c>
      <c r="X10">
        <f t="shared" si="7"/>
        <v>0.21640893991892013</v>
      </c>
      <c r="Y10">
        <f t="shared" si="13"/>
        <v>23.076923076923077</v>
      </c>
      <c r="Z10">
        <f t="shared" si="14"/>
        <v>0.1875</v>
      </c>
    </row>
    <row r="11" spans="1:26" x14ac:dyDescent="0.3">
      <c r="A11">
        <f t="shared" si="1"/>
        <v>-1.3999999999999995</v>
      </c>
      <c r="B11">
        <f t="shared" si="0"/>
        <v>5.4551999668446722</v>
      </c>
      <c r="I11">
        <v>5</v>
      </c>
      <c r="J11">
        <f t="shared" si="8"/>
        <v>0.43820742560972253</v>
      </c>
      <c r="K11">
        <f t="shared" si="2"/>
        <v>0.64519193964505051</v>
      </c>
      <c r="L11" s="5">
        <f t="shared" si="3"/>
        <v>32.081075617466574</v>
      </c>
      <c r="M11" s="5">
        <f t="shared" si="4"/>
        <v>0.64519193964505051</v>
      </c>
      <c r="N11">
        <f t="shared" si="9"/>
        <v>-0.20000000000000007</v>
      </c>
      <c r="O11">
        <f t="shared" si="5"/>
        <v>-0.20000000000000007</v>
      </c>
      <c r="P11" s="5">
        <f t="shared" si="6"/>
        <v>1.2214027581601699</v>
      </c>
      <c r="R11">
        <v>5</v>
      </c>
      <c r="S11">
        <f t="shared" si="10"/>
        <v>0.625</v>
      </c>
      <c r="T11">
        <f t="shared" si="11"/>
        <v>0.8125</v>
      </c>
      <c r="U11">
        <f t="shared" si="12"/>
        <v>0.71875</v>
      </c>
      <c r="V11">
        <f t="shared" si="7"/>
        <v>-0.14463642851899028</v>
      </c>
      <c r="W11">
        <f t="shared" si="7"/>
        <v>0.21640893991892013</v>
      </c>
      <c r="X11">
        <f t="shared" si="7"/>
        <v>2.9240485786380888E-2</v>
      </c>
      <c r="Y11">
        <f t="shared" si="13"/>
        <v>13.043478260869565</v>
      </c>
      <c r="Z11">
        <f t="shared" si="14"/>
        <v>9.375E-2</v>
      </c>
    </row>
    <row r="12" spans="1:26" x14ac:dyDescent="0.3">
      <c r="A12">
        <f t="shared" si="1"/>
        <v>-1.2999999999999994</v>
      </c>
      <c r="B12">
        <f t="shared" si="0"/>
        <v>4.9692966676192416</v>
      </c>
      <c r="I12">
        <v>6</v>
      </c>
      <c r="J12">
        <f t="shared" si="8"/>
        <v>0.64519193964505051</v>
      </c>
      <c r="K12">
        <f t="shared" si="2"/>
        <v>0.52456184822837237</v>
      </c>
      <c r="L12" s="5">
        <f t="shared" si="3"/>
        <v>22.99635244615823</v>
      </c>
      <c r="M12" s="5">
        <f t="shared" si="4"/>
        <v>0.52456184822837237</v>
      </c>
      <c r="N12">
        <f t="shared" si="9"/>
        <v>0</v>
      </c>
      <c r="O12">
        <f t="shared" si="5"/>
        <v>0</v>
      </c>
      <c r="P12" s="5">
        <f t="shared" si="6"/>
        <v>1</v>
      </c>
      <c r="R12">
        <v>6</v>
      </c>
      <c r="S12">
        <f t="shared" si="10"/>
        <v>0.625</v>
      </c>
      <c r="T12">
        <f t="shared" si="11"/>
        <v>0.71875</v>
      </c>
      <c r="U12">
        <f t="shared" si="12"/>
        <v>0.671875</v>
      </c>
      <c r="V12">
        <f t="shared" si="7"/>
        <v>-0.14463642851899028</v>
      </c>
      <c r="W12">
        <f t="shared" si="7"/>
        <v>2.9240485786380888E-2</v>
      </c>
      <c r="X12">
        <f t="shared" si="7"/>
        <v>-5.9334007504010744E-2</v>
      </c>
      <c r="Y12">
        <f t="shared" si="13"/>
        <v>6.9767441860465116</v>
      </c>
      <c r="Z12">
        <f t="shared" si="14"/>
        <v>4.6875E-2</v>
      </c>
    </row>
    <row r="13" spans="1:26" x14ac:dyDescent="0.3">
      <c r="A13">
        <f t="shared" si="1"/>
        <v>-1.1999999999999993</v>
      </c>
      <c r="B13">
        <f t="shared" si="0"/>
        <v>4.5201169227365448</v>
      </c>
      <c r="I13">
        <v>7</v>
      </c>
      <c r="J13">
        <f t="shared" si="8"/>
        <v>0.52456184822837237</v>
      </c>
      <c r="K13">
        <f t="shared" si="2"/>
        <v>0.59181461218852693</v>
      </c>
      <c r="L13" s="5">
        <f t="shared" si="3"/>
        <v>11.363822821382229</v>
      </c>
      <c r="M13" s="5">
        <f t="shared" si="4"/>
        <v>0.59181461218852693</v>
      </c>
      <c r="N13">
        <f t="shared" si="9"/>
        <v>0.2</v>
      </c>
      <c r="O13">
        <f t="shared" si="5"/>
        <v>0.2</v>
      </c>
      <c r="P13" s="5">
        <f t="shared" si="6"/>
        <v>0.81873075307798182</v>
      </c>
      <c r="R13">
        <v>7</v>
      </c>
      <c r="S13">
        <f t="shared" si="10"/>
        <v>0.671875</v>
      </c>
      <c r="T13">
        <f t="shared" si="11"/>
        <v>0.71875</v>
      </c>
      <c r="U13">
        <f t="shared" si="12"/>
        <v>0.6953125</v>
      </c>
      <c r="V13">
        <f t="shared" si="7"/>
        <v>-5.9334007504010744E-2</v>
      </c>
      <c r="W13">
        <f t="shared" si="7"/>
        <v>2.9240485786380888E-2</v>
      </c>
      <c r="X13">
        <f t="shared" si="7"/>
        <v>-1.5459038930221936E-2</v>
      </c>
      <c r="Y13">
        <f t="shared" si="13"/>
        <v>3.3707865168539324</v>
      </c>
      <c r="Z13">
        <f t="shared" si="14"/>
        <v>2.34375E-2</v>
      </c>
    </row>
    <row r="14" spans="1:26" x14ac:dyDescent="0.3">
      <c r="A14">
        <f t="shared" si="1"/>
        <v>-1.0999999999999992</v>
      </c>
      <c r="B14">
        <f t="shared" si="0"/>
        <v>4.1041660239464299</v>
      </c>
      <c r="I14">
        <v>8</v>
      </c>
      <c r="J14">
        <f t="shared" si="8"/>
        <v>0.59181461218852693</v>
      </c>
      <c r="K14">
        <f t="shared" si="2"/>
        <v>0.55332230778467306</v>
      </c>
      <c r="L14" s="5">
        <f t="shared" si="3"/>
        <v>6.9565791695557779</v>
      </c>
      <c r="M14" s="5">
        <f t="shared" si="4"/>
        <v>0.55332230778467306</v>
      </c>
      <c r="N14">
        <f t="shared" si="9"/>
        <v>0.4</v>
      </c>
      <c r="O14">
        <f t="shared" si="5"/>
        <v>0.4</v>
      </c>
      <c r="P14" s="5">
        <f t="shared" si="6"/>
        <v>0.67032004603563933</v>
      </c>
      <c r="R14">
        <v>8</v>
      </c>
      <c r="S14">
        <f t="shared" si="10"/>
        <v>0.6953125</v>
      </c>
      <c r="T14">
        <f t="shared" si="11"/>
        <v>0.71875</v>
      </c>
      <c r="U14">
        <f t="shared" si="12"/>
        <v>0.70703125</v>
      </c>
      <c r="V14">
        <f t="shared" si="7"/>
        <v>-1.5459038930221936E-2</v>
      </c>
      <c r="W14">
        <f t="shared" si="7"/>
        <v>2.9240485786380888E-2</v>
      </c>
      <c r="X14">
        <f t="shared" si="7"/>
        <v>6.7872536115081705E-3</v>
      </c>
      <c r="Y14">
        <f t="shared" si="13"/>
        <v>1.6574585635359116</v>
      </c>
      <c r="Z14">
        <f t="shared" si="14"/>
        <v>1.171875E-2</v>
      </c>
    </row>
    <row r="15" spans="1:26" x14ac:dyDescent="0.3">
      <c r="A15">
        <f t="shared" si="1"/>
        <v>-0.99999999999999922</v>
      </c>
      <c r="B15">
        <f t="shared" si="0"/>
        <v>3.7182818284590424</v>
      </c>
      <c r="I15">
        <v>9</v>
      </c>
      <c r="J15">
        <f t="shared" si="8"/>
        <v>0.55332230778467306</v>
      </c>
      <c r="K15">
        <f t="shared" si="2"/>
        <v>0.57503618611865681</v>
      </c>
      <c r="L15" s="5">
        <f t="shared" si="3"/>
        <v>3.7760890285090971</v>
      </c>
      <c r="M15" s="5">
        <f t="shared" si="4"/>
        <v>0.57503618611865681</v>
      </c>
      <c r="N15">
        <f t="shared" si="9"/>
        <v>0.60000000000000009</v>
      </c>
      <c r="O15">
        <f t="shared" si="5"/>
        <v>0.60000000000000009</v>
      </c>
      <c r="P15" s="5">
        <f t="shared" si="6"/>
        <v>0.54881163609402639</v>
      </c>
      <c r="R15">
        <v>9</v>
      </c>
      <c r="S15">
        <f t="shared" si="10"/>
        <v>0.6953125</v>
      </c>
      <c r="T15">
        <f t="shared" si="11"/>
        <v>0.70703125</v>
      </c>
      <c r="U15">
        <f t="shared" si="12"/>
        <v>0.701171875</v>
      </c>
      <c r="V15">
        <f t="shared" si="7"/>
        <v>-1.5459038930221936E-2</v>
      </c>
      <c r="W15">
        <f t="shared" si="7"/>
        <v>6.7872536115081705E-3</v>
      </c>
      <c r="X15">
        <f t="shared" si="7"/>
        <v>-4.3617104424258923E-3</v>
      </c>
      <c r="Y15">
        <f t="shared" si="13"/>
        <v>0.83565459610027859</v>
      </c>
      <c r="Z15">
        <f t="shared" si="14"/>
        <v>5.859375E-3</v>
      </c>
    </row>
    <row r="16" spans="1:26" x14ac:dyDescent="0.3">
      <c r="A16">
        <f t="shared" si="1"/>
        <v>-0.89999999999999925</v>
      </c>
      <c r="B16">
        <f t="shared" si="0"/>
        <v>3.3596031111569467</v>
      </c>
      <c r="I16">
        <v>10</v>
      </c>
      <c r="J16">
        <f t="shared" si="8"/>
        <v>0.57503618611865681</v>
      </c>
      <c r="K16">
        <f t="shared" si="2"/>
        <v>0.56268450707021256</v>
      </c>
      <c r="L16" s="5">
        <f t="shared" si="3"/>
        <v>2.195134021506477</v>
      </c>
      <c r="M16" s="5">
        <f t="shared" si="4"/>
        <v>0.56268450707021256</v>
      </c>
      <c r="N16">
        <f t="shared" si="9"/>
        <v>0.8</v>
      </c>
      <c r="O16">
        <f t="shared" si="5"/>
        <v>0.8</v>
      </c>
      <c r="P16" s="5">
        <f t="shared" si="6"/>
        <v>0.44932896411722156</v>
      </c>
      <c r="R16">
        <v>10</v>
      </c>
      <c r="S16">
        <f t="shared" si="10"/>
        <v>0.701171875</v>
      </c>
      <c r="T16">
        <f t="shared" si="11"/>
        <v>0.70703125</v>
      </c>
      <c r="U16">
        <f t="shared" si="12"/>
        <v>0.7041015625</v>
      </c>
      <c r="V16">
        <f t="shared" si="7"/>
        <v>-4.3617104424258923E-3</v>
      </c>
      <c r="W16">
        <f t="shared" si="7"/>
        <v>6.7872536115081705E-3</v>
      </c>
      <c r="X16">
        <f t="shared" si="7"/>
        <v>1.2063109071454581E-3</v>
      </c>
      <c r="Y16">
        <f t="shared" si="13"/>
        <v>0.41608876560332869</v>
      </c>
      <c r="Z16">
        <f t="shared" si="14"/>
        <v>2.9296875E-3</v>
      </c>
    </row>
    <row r="17" spans="1:26" x14ac:dyDescent="0.3">
      <c r="A17">
        <f t="shared" si="1"/>
        <v>-0.79999999999999927</v>
      </c>
      <c r="B17">
        <f t="shared" si="0"/>
        <v>3.0255409284924655</v>
      </c>
      <c r="I17">
        <v>11</v>
      </c>
      <c r="J17">
        <f t="shared" si="8"/>
        <v>0.56268450707021256</v>
      </c>
      <c r="K17">
        <f t="shared" si="2"/>
        <v>0.56967770546919616</v>
      </c>
      <c r="L17" s="5">
        <f t="shared" si="3"/>
        <v>1.2275710163563249</v>
      </c>
      <c r="M17" s="5">
        <f t="shared" si="4"/>
        <v>0.56967770546919616</v>
      </c>
      <c r="N17">
        <f t="shared" si="9"/>
        <v>1</v>
      </c>
      <c r="O17">
        <f t="shared" si="5"/>
        <v>1</v>
      </c>
      <c r="P17" s="5">
        <f t="shared" si="6"/>
        <v>0.36787944117144233</v>
      </c>
      <c r="R17">
        <v>11</v>
      </c>
      <c r="S17">
        <f t="shared" si="10"/>
        <v>0.701171875</v>
      </c>
      <c r="T17">
        <f t="shared" si="11"/>
        <v>0.7041015625</v>
      </c>
      <c r="U17">
        <f t="shared" si="12"/>
        <v>0.70263671875</v>
      </c>
      <c r="V17">
        <f t="shared" si="7"/>
        <v>-4.3617104424258923E-3</v>
      </c>
      <c r="W17">
        <f t="shared" si="7"/>
        <v>1.2063109071454581E-3</v>
      </c>
      <c r="X17">
        <f t="shared" si="7"/>
        <v>-1.5793141594616644E-3</v>
      </c>
      <c r="Y17">
        <f t="shared" si="13"/>
        <v>0.20847810979847115</v>
      </c>
      <c r="Z17">
        <f t="shared" si="14"/>
        <v>1.46484375E-3</v>
      </c>
    </row>
    <row r="18" spans="1:26" x14ac:dyDescent="0.3">
      <c r="A18">
        <f t="shared" si="1"/>
        <v>-0.69999999999999929</v>
      </c>
      <c r="B18">
        <f t="shared" si="0"/>
        <v>2.7137527074704746</v>
      </c>
      <c r="I18">
        <v>12</v>
      </c>
      <c r="J18">
        <f t="shared" si="8"/>
        <v>0.56967770546919616</v>
      </c>
      <c r="K18">
        <f t="shared" si="2"/>
        <v>0.5657077338302442</v>
      </c>
      <c r="L18" s="5">
        <f t="shared" si="3"/>
        <v>0.70177079108896545</v>
      </c>
      <c r="M18" s="5">
        <f t="shared" si="4"/>
        <v>0.5657077338302442</v>
      </c>
      <c r="N18">
        <f t="shared" si="9"/>
        <v>1.2</v>
      </c>
      <c r="O18">
        <f t="shared" si="5"/>
        <v>1.2</v>
      </c>
      <c r="P18" s="5">
        <f t="shared" si="6"/>
        <v>0.30119421191220214</v>
      </c>
      <c r="R18">
        <v>12</v>
      </c>
      <c r="S18">
        <f t="shared" si="10"/>
        <v>0.70263671875</v>
      </c>
      <c r="T18">
        <f t="shared" si="11"/>
        <v>0.7041015625</v>
      </c>
      <c r="U18">
        <f t="shared" si="12"/>
        <v>0.703369140625</v>
      </c>
      <c r="V18">
        <f t="shared" si="7"/>
        <v>-1.5793141594616644E-3</v>
      </c>
      <c r="W18">
        <f t="shared" si="7"/>
        <v>1.2063109071454581E-3</v>
      </c>
      <c r="X18">
        <f t="shared" si="7"/>
        <v>-1.8690532139342686E-4</v>
      </c>
      <c r="Y18">
        <f t="shared" si="13"/>
        <v>0.10413051023950018</v>
      </c>
      <c r="Z18">
        <f t="shared" si="14"/>
        <v>7.32421875E-4</v>
      </c>
    </row>
    <row r="19" spans="1:26" x14ac:dyDescent="0.3">
      <c r="A19">
        <f t="shared" si="1"/>
        <v>-0.59999999999999931</v>
      </c>
      <c r="B19">
        <f t="shared" si="0"/>
        <v>2.422118800390507</v>
      </c>
      <c r="I19">
        <v>13</v>
      </c>
      <c r="J19">
        <f t="shared" si="8"/>
        <v>0.5657077338302442</v>
      </c>
      <c r="K19">
        <f t="shared" si="2"/>
        <v>0.56795804136249739</v>
      </c>
      <c r="L19" s="5">
        <f t="shared" si="3"/>
        <v>0.39621017194418795</v>
      </c>
      <c r="M19" s="5">
        <f t="shared" si="4"/>
        <v>0.56795804136249739</v>
      </c>
      <c r="N19">
        <f t="shared" si="9"/>
        <v>1.4</v>
      </c>
      <c r="O19">
        <f t="shared" si="5"/>
        <v>1.4</v>
      </c>
      <c r="P19" s="5">
        <f t="shared" si="6"/>
        <v>0.24659696394160649</v>
      </c>
      <c r="R19">
        <v>13</v>
      </c>
      <c r="S19">
        <f t="shared" si="10"/>
        <v>0.703369140625</v>
      </c>
      <c r="T19">
        <f t="shared" si="11"/>
        <v>0.7041015625</v>
      </c>
      <c r="U19">
        <f t="shared" si="12"/>
        <v>0.7037353515625</v>
      </c>
      <c r="V19">
        <f t="shared" si="7"/>
        <v>-1.8690532139342686E-4</v>
      </c>
      <c r="W19">
        <f t="shared" si="7"/>
        <v>1.2063109071454581E-3</v>
      </c>
      <c r="X19">
        <f t="shared" si="7"/>
        <v>5.0960185691500959E-4</v>
      </c>
      <c r="Y19">
        <f t="shared" si="13"/>
        <v>5.2038161318300087E-2</v>
      </c>
      <c r="Z19">
        <f t="shared" si="14"/>
        <v>3.662109375E-4</v>
      </c>
    </row>
    <row r="20" spans="1:26" x14ac:dyDescent="0.3">
      <c r="A20">
        <f t="shared" si="1"/>
        <v>-0.49999999999999933</v>
      </c>
      <c r="B20">
        <f t="shared" si="0"/>
        <v>2.1487212707001264</v>
      </c>
      <c r="I20">
        <v>14</v>
      </c>
      <c r="J20">
        <f t="shared" si="8"/>
        <v>0.56795804136249739</v>
      </c>
      <c r="K20">
        <f t="shared" si="2"/>
        <v>0.56668139806276341</v>
      </c>
      <c r="L20" s="5">
        <f t="shared" si="3"/>
        <v>0.22528413745329709</v>
      </c>
      <c r="M20" s="5">
        <f t="shared" si="4"/>
        <v>0.56668139806276341</v>
      </c>
      <c r="N20">
        <f t="shared" si="9"/>
        <v>1.5999999999999999</v>
      </c>
      <c r="O20">
        <f t="shared" si="5"/>
        <v>1.5999999999999999</v>
      </c>
      <c r="P20" s="5">
        <f t="shared" si="6"/>
        <v>0.20189651799465544</v>
      </c>
      <c r="R20">
        <v>14</v>
      </c>
      <c r="S20">
        <f t="shared" si="10"/>
        <v>0.703369140625</v>
      </c>
      <c r="T20">
        <f t="shared" si="11"/>
        <v>0.7037353515625</v>
      </c>
      <c r="U20">
        <f t="shared" si="12"/>
        <v>0.70355224609375</v>
      </c>
      <c r="V20">
        <f t="shared" si="7"/>
        <v>-1.8690532139342686E-4</v>
      </c>
      <c r="W20">
        <f t="shared" si="7"/>
        <v>5.0960185691500959E-4</v>
      </c>
      <c r="X20">
        <f t="shared" si="7"/>
        <v>1.61323035289207E-4</v>
      </c>
      <c r="Y20">
        <f t="shared" si="13"/>
        <v>2.6025852346664356E-2</v>
      </c>
      <c r="Z20">
        <f t="shared" si="14"/>
        <v>1.8310546875E-4</v>
      </c>
    </row>
    <row r="21" spans="1:26" x14ac:dyDescent="0.3">
      <c r="A21">
        <f t="shared" si="1"/>
        <v>-0.39999999999999936</v>
      </c>
      <c r="B21">
        <f t="shared" si="0"/>
        <v>1.8918246976412689</v>
      </c>
      <c r="I21">
        <v>15</v>
      </c>
      <c r="J21">
        <f t="shared" si="8"/>
        <v>0.56668139806276341</v>
      </c>
      <c r="K21">
        <f t="shared" si="2"/>
        <v>0.56740531006306605</v>
      </c>
      <c r="L21" s="5">
        <f t="shared" si="3"/>
        <v>0.12758287373485783</v>
      </c>
      <c r="M21" s="5">
        <f t="shared" si="4"/>
        <v>0.56740531006306605</v>
      </c>
      <c r="N21">
        <f t="shared" si="9"/>
        <v>1.7999999999999998</v>
      </c>
      <c r="O21">
        <f t="shared" si="5"/>
        <v>1.7999999999999998</v>
      </c>
      <c r="P21" s="5">
        <f t="shared" si="6"/>
        <v>0.16529888822158656</v>
      </c>
      <c r="R21">
        <v>15</v>
      </c>
      <c r="S21">
        <f t="shared" si="10"/>
        <v>0.703369140625</v>
      </c>
      <c r="T21">
        <f t="shared" si="11"/>
        <v>0.70355224609375</v>
      </c>
      <c r="U21">
        <f t="shared" si="12"/>
        <v>0.703460693359375</v>
      </c>
      <c r="V21">
        <f t="shared" si="7"/>
        <v>-1.8690532139342686E-4</v>
      </c>
      <c r="W21">
        <f t="shared" si="7"/>
        <v>1.61323035289207E-4</v>
      </c>
      <c r="X21">
        <f t="shared" si="7"/>
        <v>-1.2797450980095437E-5</v>
      </c>
      <c r="Y21">
        <f t="shared" si="13"/>
        <v>1.3014619756192791E-2</v>
      </c>
      <c r="Z21">
        <f t="shared" si="14"/>
        <v>9.1552734375E-5</v>
      </c>
    </row>
    <row r="22" spans="1:26" x14ac:dyDescent="0.3">
      <c r="A22">
        <f t="shared" si="1"/>
        <v>-0.29999999999999938</v>
      </c>
      <c r="B22">
        <f t="shared" si="0"/>
        <v>1.6498588075760017</v>
      </c>
      <c r="I22">
        <v>16</v>
      </c>
      <c r="J22">
        <f t="shared" si="8"/>
        <v>0.56740531006306605</v>
      </c>
      <c r="K22">
        <f t="shared" si="2"/>
        <v>0.56699470718818157</v>
      </c>
      <c r="L22" s="5">
        <f t="shared" si="3"/>
        <v>7.2417408783359977E-2</v>
      </c>
      <c r="M22" s="5">
        <f t="shared" si="4"/>
        <v>0.56699470718818157</v>
      </c>
      <c r="N22">
        <f t="shared" si="9"/>
        <v>1.9999999999999998</v>
      </c>
      <c r="O22">
        <f t="shared" si="5"/>
        <v>1.9999999999999998</v>
      </c>
      <c r="P22" s="5">
        <f t="shared" si="6"/>
        <v>0.13533528323661273</v>
      </c>
      <c r="R22">
        <v>16</v>
      </c>
      <c r="S22">
        <f t="shared" si="10"/>
        <v>0.703460693359375</v>
      </c>
      <c r="T22">
        <f t="shared" si="11"/>
        <v>0.70355224609375</v>
      </c>
      <c r="U22">
        <f t="shared" si="12"/>
        <v>0.7035064697265625</v>
      </c>
      <c r="V22">
        <f t="shared" si="7"/>
        <v>-1.2797450980095437E-5</v>
      </c>
      <c r="W22">
        <f t="shared" si="7"/>
        <v>1.61323035289207E-4</v>
      </c>
      <c r="X22">
        <f t="shared" si="7"/>
        <v>7.4261215148807569E-5</v>
      </c>
      <c r="Y22">
        <f t="shared" si="13"/>
        <v>6.5068864548313635E-3</v>
      </c>
      <c r="Z22">
        <f t="shared" si="14"/>
        <v>4.57763671875E-5</v>
      </c>
    </row>
    <row r="23" spans="1:26" x14ac:dyDescent="0.3">
      <c r="A23">
        <f t="shared" si="1"/>
        <v>-0.19999999999999937</v>
      </c>
      <c r="B23">
        <f t="shared" si="0"/>
        <v>1.4214027581601683</v>
      </c>
      <c r="I23">
        <v>17</v>
      </c>
      <c r="J23">
        <f t="shared" si="8"/>
        <v>0.56699470718818157</v>
      </c>
      <c r="K23">
        <f t="shared" si="2"/>
        <v>0.56722756464769697</v>
      </c>
      <c r="L23" s="5">
        <f t="shared" si="3"/>
        <v>4.1051858906050849E-2</v>
      </c>
      <c r="M23" s="5">
        <f t="shared" si="4"/>
        <v>0.56722756464769697</v>
      </c>
      <c r="N23">
        <f t="shared" si="9"/>
        <v>2.1999999999999997</v>
      </c>
      <c r="O23">
        <f t="shared" si="5"/>
        <v>2.1999999999999997</v>
      </c>
      <c r="P23" s="5">
        <f t="shared" si="6"/>
        <v>0.11080315836233391</v>
      </c>
      <c r="R23">
        <v>17</v>
      </c>
      <c r="S23">
        <f t="shared" si="10"/>
        <v>0.703460693359375</v>
      </c>
      <c r="T23">
        <f t="shared" si="11"/>
        <v>0.7035064697265625</v>
      </c>
      <c r="U23">
        <f t="shared" si="12"/>
        <v>0.70348358154296875</v>
      </c>
      <c r="V23">
        <f t="shared" si="7"/>
        <v>-1.2797450980095437E-5</v>
      </c>
      <c r="W23">
        <f t="shared" si="7"/>
        <v>7.4261215148807569E-5</v>
      </c>
      <c r="X23">
        <f t="shared" si="7"/>
        <v>3.073148783588886E-5</v>
      </c>
      <c r="Y23">
        <f t="shared" si="13"/>
        <v>3.2535490797878683E-3</v>
      </c>
      <c r="Z23">
        <f t="shared" si="14"/>
        <v>2.288818359375E-5</v>
      </c>
    </row>
    <row r="24" spans="1:26" x14ac:dyDescent="0.3">
      <c r="A24">
        <f t="shared" si="1"/>
        <v>-9.9999999999999367E-2</v>
      </c>
      <c r="B24">
        <f t="shared" si="0"/>
        <v>1.2051709180756462</v>
      </c>
      <c r="I24">
        <v>18</v>
      </c>
      <c r="J24">
        <f t="shared" si="8"/>
        <v>0.56722756464769697</v>
      </c>
      <c r="K24">
        <f t="shared" si="2"/>
        <v>0.56709549685510807</v>
      </c>
      <c r="L24" s="5">
        <f t="shared" si="3"/>
        <v>2.3288457291813058E-2</v>
      </c>
      <c r="M24" s="5">
        <f t="shared" si="4"/>
        <v>0.56709549685510807</v>
      </c>
      <c r="N24">
        <f t="shared" si="9"/>
        <v>2.4</v>
      </c>
      <c r="O24">
        <f t="shared" si="5"/>
        <v>2.4</v>
      </c>
      <c r="P24" s="5">
        <f t="shared" si="6"/>
        <v>9.0717953289412512E-2</v>
      </c>
      <c r="R24">
        <v>18</v>
      </c>
      <c r="S24">
        <f t="shared" si="10"/>
        <v>0.703460693359375</v>
      </c>
      <c r="T24">
        <f t="shared" si="11"/>
        <v>0.70348358154296875</v>
      </c>
      <c r="U24">
        <f t="shared" si="12"/>
        <v>0.70347213745117188</v>
      </c>
      <c r="V24">
        <f t="shared" si="7"/>
        <v>-1.2797450980095437E-5</v>
      </c>
      <c r="W24">
        <f t="shared" si="7"/>
        <v>3.073148783588886E-5</v>
      </c>
      <c r="X24">
        <f t="shared" si="7"/>
        <v>8.9669198661268545E-6</v>
      </c>
      <c r="Y24">
        <f t="shared" si="13"/>
        <v>1.6268010042784866E-3</v>
      </c>
      <c r="Z24">
        <f t="shared" si="14"/>
        <v>1.1444091796875E-5</v>
      </c>
    </row>
    <row r="25" spans="1:26" x14ac:dyDescent="0.3">
      <c r="A25">
        <f t="shared" si="1"/>
        <v>6.3837823915946501E-16</v>
      </c>
      <c r="B25">
        <f t="shared" si="0"/>
        <v>0.99999999999999867</v>
      </c>
      <c r="I25">
        <v>19</v>
      </c>
      <c r="J25">
        <f t="shared" si="8"/>
        <v>0.56709549685510807</v>
      </c>
      <c r="K25">
        <f t="shared" si="2"/>
        <v>0.56717039685139448</v>
      </c>
      <c r="L25" s="5">
        <f t="shared" si="3"/>
        <v>1.3205907202175184E-2</v>
      </c>
      <c r="M25" s="5">
        <f t="shared" si="4"/>
        <v>0.56717039685139448</v>
      </c>
      <c r="N25">
        <f t="shared" si="9"/>
        <v>2.6</v>
      </c>
      <c r="O25">
        <f t="shared" si="5"/>
        <v>2.6</v>
      </c>
      <c r="P25" s="5">
        <f t="shared" si="6"/>
        <v>7.4273578214333877E-2</v>
      </c>
      <c r="R25">
        <v>19</v>
      </c>
      <c r="S25">
        <f t="shared" si="10"/>
        <v>0.703460693359375</v>
      </c>
      <c r="T25">
        <f t="shared" si="11"/>
        <v>0.70347213745117188</v>
      </c>
      <c r="U25">
        <f t="shared" si="12"/>
        <v>0.70346641540527344</v>
      </c>
      <c r="V25">
        <f t="shared" si="7"/>
        <v>-1.2797450980095437E-5</v>
      </c>
      <c r="W25">
        <f t="shared" si="7"/>
        <v>8.9669198661268545E-6</v>
      </c>
      <c r="X25">
        <f t="shared" si="7"/>
        <v>-1.9152901973851222E-6</v>
      </c>
      <c r="Y25">
        <f t="shared" si="13"/>
        <v>8.1340711839682884E-4</v>
      </c>
      <c r="Z25">
        <f t="shared" si="14"/>
        <v>5.7220458984375E-6</v>
      </c>
    </row>
    <row r="26" spans="1:26" x14ac:dyDescent="0.3">
      <c r="A26">
        <f t="shared" si="1"/>
        <v>0.10000000000000064</v>
      </c>
      <c r="B26">
        <f t="shared" si="0"/>
        <v>0.80483741803595832</v>
      </c>
      <c r="I26">
        <v>20</v>
      </c>
      <c r="J26">
        <f t="shared" si="8"/>
        <v>0.56717039685139448</v>
      </c>
      <c r="K26">
        <f t="shared" si="2"/>
        <v>0.56712791738165247</v>
      </c>
      <c r="L26" s="5">
        <f t="shared" si="3"/>
        <v>7.490280136116168E-3</v>
      </c>
      <c r="M26" s="5">
        <f t="shared" si="4"/>
        <v>0.56712791738165247</v>
      </c>
      <c r="N26">
        <f t="shared" si="9"/>
        <v>2.8000000000000003</v>
      </c>
      <c r="O26">
        <f t="shared" si="5"/>
        <v>2.8000000000000003</v>
      </c>
      <c r="P26" s="5">
        <f t="shared" si="6"/>
        <v>6.0810062625217952E-2</v>
      </c>
      <c r="R26">
        <v>20</v>
      </c>
      <c r="S26">
        <f t="shared" si="10"/>
        <v>0.70346641540527344</v>
      </c>
      <c r="T26">
        <f t="shared" si="11"/>
        <v>0.70347213745117188</v>
      </c>
      <c r="U26">
        <f t="shared" si="12"/>
        <v>0.70346927642822266</v>
      </c>
      <c r="V26">
        <f t="shared" si="7"/>
        <v>-1.9152901973851222E-6</v>
      </c>
      <c r="W26">
        <f t="shared" si="7"/>
        <v>8.9669198661268545E-6</v>
      </c>
      <c r="X26">
        <f t="shared" si="7"/>
        <v>3.5258086742429029E-6</v>
      </c>
      <c r="Y26">
        <f t="shared" si="13"/>
        <v>4.0670190512729092E-4</v>
      </c>
      <c r="Z26">
        <f t="shared" si="14"/>
        <v>2.86102294921875E-6</v>
      </c>
    </row>
    <row r="27" spans="1:26" x14ac:dyDescent="0.3">
      <c r="A27">
        <f t="shared" si="1"/>
        <v>0.20000000000000065</v>
      </c>
      <c r="B27">
        <f t="shared" si="0"/>
        <v>0.61873075307798076</v>
      </c>
      <c r="I27">
        <v>21</v>
      </c>
      <c r="J27">
        <f t="shared" si="8"/>
        <v>0.56712791738165247</v>
      </c>
      <c r="K27">
        <f t="shared" si="2"/>
        <v>0.56715200918655873</v>
      </c>
      <c r="L27" s="5">
        <f t="shared" si="3"/>
        <v>4.2478567502230022E-3</v>
      </c>
      <c r="M27" s="5">
        <f t="shared" si="4"/>
        <v>0.56715200918655873</v>
      </c>
      <c r="N27">
        <f t="shared" si="9"/>
        <v>3.0000000000000004</v>
      </c>
      <c r="O27">
        <f t="shared" si="5"/>
        <v>3.0000000000000004</v>
      </c>
      <c r="P27" s="5">
        <f t="shared" si="6"/>
        <v>4.9787068367863924E-2</v>
      </c>
      <c r="R27">
        <v>21</v>
      </c>
      <c r="S27">
        <f t="shared" si="10"/>
        <v>0.70346641540527344</v>
      </c>
      <c r="T27">
        <f t="shared" si="11"/>
        <v>0.70346927642822266</v>
      </c>
      <c r="U27">
        <f t="shared" si="12"/>
        <v>0.70346784591674805</v>
      </c>
      <c r="V27">
        <f t="shared" si="7"/>
        <v>-1.9152901973851222E-6</v>
      </c>
      <c r="W27">
        <f t="shared" si="7"/>
        <v>3.5258086742429029E-6</v>
      </c>
      <c r="X27">
        <f t="shared" si="7"/>
        <v>8.0525769841077732E-7</v>
      </c>
      <c r="Y27">
        <f t="shared" si="13"/>
        <v>2.0335136608058544E-4</v>
      </c>
      <c r="Z27">
        <f t="shared" si="14"/>
        <v>1.430511474609375E-6</v>
      </c>
    </row>
    <row r="28" spans="1:26" x14ac:dyDescent="0.3">
      <c r="A28">
        <f t="shared" si="1"/>
        <v>0.30000000000000066</v>
      </c>
      <c r="B28">
        <f t="shared" si="0"/>
        <v>0.44081822068171678</v>
      </c>
      <c r="I28">
        <v>22</v>
      </c>
      <c r="J28">
        <f t="shared" si="8"/>
        <v>0.56715200918655873</v>
      </c>
      <c r="K28">
        <f t="shared" si="2"/>
        <v>0.56713834563559162</v>
      </c>
      <c r="L28" s="5">
        <f t="shared" si="3"/>
        <v>2.409209511620949E-3</v>
      </c>
      <c r="M28" s="5">
        <f t="shared" si="4"/>
        <v>0.56713834563559162</v>
      </c>
      <c r="N28">
        <f t="shared" si="9"/>
        <v>3.2000000000000006</v>
      </c>
      <c r="O28">
        <f t="shared" si="5"/>
        <v>3.2000000000000006</v>
      </c>
      <c r="P28" s="5">
        <f t="shared" si="6"/>
        <v>4.076220397836619E-2</v>
      </c>
      <c r="R28">
        <v>22</v>
      </c>
      <c r="S28">
        <f t="shared" si="10"/>
        <v>0.70346641540527344</v>
      </c>
      <c r="T28">
        <f t="shared" si="11"/>
        <v>0.70346784591674805</v>
      </c>
      <c r="U28">
        <f t="shared" si="12"/>
        <v>0.70346713066101074</v>
      </c>
      <c r="V28">
        <f t="shared" si="7"/>
        <v>-1.9152901973851222E-6</v>
      </c>
      <c r="W28">
        <f t="shared" si="7"/>
        <v>8.0525769841077732E-7</v>
      </c>
      <c r="X28">
        <f t="shared" si="7"/>
        <v>-5.5501663448476179E-7</v>
      </c>
      <c r="Y28">
        <f t="shared" si="13"/>
        <v>1.0167578641984304E-4</v>
      </c>
      <c r="Z28">
        <f t="shared" si="14"/>
        <v>7.152557373046875E-7</v>
      </c>
    </row>
    <row r="29" spans="1:26" x14ac:dyDescent="0.3">
      <c r="A29">
        <f t="shared" si="1"/>
        <v>0.40000000000000069</v>
      </c>
      <c r="B29">
        <f t="shared" si="0"/>
        <v>0.2703200460356382</v>
      </c>
      <c r="I29">
        <v>23</v>
      </c>
      <c r="J29">
        <f t="shared" si="8"/>
        <v>0.56713834563559162</v>
      </c>
      <c r="K29">
        <f t="shared" si="2"/>
        <v>0.56714609481222311</v>
      </c>
      <c r="L29" s="5">
        <f t="shared" si="3"/>
        <v>1.3663457621187066E-3</v>
      </c>
      <c r="M29" s="5">
        <f t="shared" si="4"/>
        <v>0.56714609481222311</v>
      </c>
      <c r="N29">
        <f t="shared" si="9"/>
        <v>3.4000000000000008</v>
      </c>
      <c r="O29">
        <f t="shared" si="5"/>
        <v>3.4000000000000008</v>
      </c>
      <c r="P29" s="5">
        <f t="shared" si="6"/>
        <v>3.3373269960326052E-2</v>
      </c>
      <c r="R29">
        <v>23</v>
      </c>
      <c r="S29">
        <f t="shared" si="10"/>
        <v>0.70346713066101074</v>
      </c>
      <c r="T29">
        <f t="shared" si="11"/>
        <v>0.70346784591674805</v>
      </c>
      <c r="U29">
        <f t="shared" si="12"/>
        <v>0.70346748828887939</v>
      </c>
      <c r="V29">
        <f t="shared" si="7"/>
        <v>-5.5501663448476179E-7</v>
      </c>
      <c r="W29">
        <f t="shared" si="7"/>
        <v>8.0525769841077732E-7</v>
      </c>
      <c r="X29">
        <f t="shared" si="7"/>
        <v>1.251204357344271E-7</v>
      </c>
      <c r="Y29">
        <f t="shared" si="13"/>
        <v>5.0837867365020805E-5</v>
      </c>
      <c r="Z29">
        <f t="shared" si="14"/>
        <v>3.5762786865234375E-7</v>
      </c>
    </row>
    <row r="30" spans="1:26" x14ac:dyDescent="0.3">
      <c r="A30">
        <f t="shared" si="1"/>
        <v>0.50000000000000067</v>
      </c>
      <c r="B30">
        <f t="shared" si="0"/>
        <v>0.10653065971263231</v>
      </c>
      <c r="I30">
        <v>24</v>
      </c>
      <c r="J30">
        <f t="shared" si="8"/>
        <v>0.56714609481222311</v>
      </c>
      <c r="K30">
        <f t="shared" si="2"/>
        <v>0.567141699913987</v>
      </c>
      <c r="L30" s="5">
        <f t="shared" si="3"/>
        <v>7.7492066564349032E-4</v>
      </c>
      <c r="M30" s="5">
        <f t="shared" si="4"/>
        <v>0.567141699913987</v>
      </c>
      <c r="N30">
        <f t="shared" si="9"/>
        <v>3.600000000000001</v>
      </c>
      <c r="O30">
        <f t="shared" si="5"/>
        <v>3.600000000000001</v>
      </c>
      <c r="P30" s="5">
        <f t="shared" si="6"/>
        <v>2.7323722447292535E-2</v>
      </c>
      <c r="R30">
        <v>24</v>
      </c>
      <c r="S30">
        <f t="shared" si="10"/>
        <v>0.70346713066101074</v>
      </c>
      <c r="T30">
        <f t="shared" si="11"/>
        <v>0.70346748828887939</v>
      </c>
      <c r="U30">
        <f t="shared" si="12"/>
        <v>0.70346730947494507</v>
      </c>
      <c r="V30">
        <f t="shared" si="7"/>
        <v>-5.5501663448476179E-7</v>
      </c>
      <c r="W30">
        <f t="shared" si="7"/>
        <v>1.251204357344271E-7</v>
      </c>
      <c r="X30">
        <f t="shared" si="7"/>
        <v>-2.1494812346700698E-7</v>
      </c>
      <c r="Y30">
        <f t="shared" si="13"/>
        <v>2.541894014373394E-5</v>
      </c>
      <c r="Z30">
        <f t="shared" si="14"/>
        <v>1.7881393432617188E-7</v>
      </c>
    </row>
    <row r="31" spans="1:26" x14ac:dyDescent="0.3">
      <c r="A31">
        <f t="shared" si="1"/>
        <v>0.60000000000000064</v>
      </c>
      <c r="B31">
        <f t="shared" si="0"/>
        <v>-5.1188363905974588E-2</v>
      </c>
      <c r="I31">
        <v>25</v>
      </c>
      <c r="J31">
        <f t="shared" si="8"/>
        <v>0.567141699913987</v>
      </c>
      <c r="K31">
        <f t="shared" si="2"/>
        <v>0.56714419244952086</v>
      </c>
      <c r="L31" s="5">
        <f t="shared" si="3"/>
        <v>4.394888578678226E-4</v>
      </c>
      <c r="M31" s="5">
        <f t="shared" si="4"/>
        <v>0.56714419244952086</v>
      </c>
      <c r="N31">
        <f t="shared" si="9"/>
        <v>3.8000000000000012</v>
      </c>
      <c r="O31">
        <f t="shared" si="5"/>
        <v>3.8000000000000012</v>
      </c>
      <c r="P31" s="5">
        <f t="shared" si="6"/>
        <v>2.237077185616557E-2</v>
      </c>
      <c r="R31">
        <v>25</v>
      </c>
      <c r="S31">
        <f t="shared" si="10"/>
        <v>0.70346730947494507</v>
      </c>
      <c r="T31">
        <f t="shared" si="11"/>
        <v>0.70346748828887939</v>
      </c>
      <c r="U31">
        <f t="shared" si="12"/>
        <v>0.70346739888191223</v>
      </c>
      <c r="V31">
        <f t="shared" si="7"/>
        <v>-2.1494812346700698E-7</v>
      </c>
      <c r="W31">
        <f t="shared" si="7"/>
        <v>1.251204357344271E-7</v>
      </c>
      <c r="X31">
        <f t="shared" si="7"/>
        <v>-4.491384986149427E-8</v>
      </c>
      <c r="Y31">
        <f t="shared" si="13"/>
        <v>1.2709468456560879E-5</v>
      </c>
      <c r="Z31">
        <f t="shared" si="14"/>
        <v>8.9406967163085938E-8</v>
      </c>
    </row>
    <row r="32" spans="1:26" x14ac:dyDescent="0.3">
      <c r="A32">
        <f t="shared" si="1"/>
        <v>0.70000000000000062</v>
      </c>
      <c r="B32">
        <f t="shared" si="0"/>
        <v>-0.20341469620859143</v>
      </c>
      <c r="I32">
        <v>26</v>
      </c>
      <c r="J32">
        <f t="shared" si="8"/>
        <v>0.56714419244952086</v>
      </c>
      <c r="K32">
        <f t="shared" si="2"/>
        <v>0.56714277882423014</v>
      </c>
      <c r="L32" s="5">
        <f t="shared" si="3"/>
        <v>2.4925386401717254E-4</v>
      </c>
      <c r="M32" s="5">
        <f t="shared" si="4"/>
        <v>0.56714277882423014</v>
      </c>
      <c r="N32">
        <f t="shared" si="9"/>
        <v>4.0000000000000009</v>
      </c>
      <c r="O32">
        <f t="shared" si="5"/>
        <v>4.0000000000000009</v>
      </c>
      <c r="P32" s="5">
        <f t="shared" si="6"/>
        <v>1.8315638888734165E-2</v>
      </c>
      <c r="R32">
        <v>26</v>
      </c>
      <c r="S32">
        <f t="shared" si="10"/>
        <v>0.70346739888191223</v>
      </c>
      <c r="T32">
        <f t="shared" si="11"/>
        <v>0.70346748828887939</v>
      </c>
      <c r="U32">
        <f t="shared" si="12"/>
        <v>0.70346744358539581</v>
      </c>
      <c r="V32">
        <f t="shared" si="7"/>
        <v>-4.491384986149427E-8</v>
      </c>
      <c r="W32">
        <f t="shared" si="7"/>
        <v>1.251204357344271E-7</v>
      </c>
      <c r="X32">
        <f t="shared" si="7"/>
        <v>4.0103291409909758E-8</v>
      </c>
      <c r="Y32">
        <f t="shared" si="13"/>
        <v>6.3547338244539946E-6</v>
      </c>
      <c r="Z32">
        <f t="shared" si="14"/>
        <v>4.4703483581542969E-8</v>
      </c>
    </row>
    <row r="33" spans="1:26" x14ac:dyDescent="0.3">
      <c r="A33">
        <f t="shared" si="1"/>
        <v>0.8000000000000006</v>
      </c>
      <c r="B33">
        <f t="shared" si="0"/>
        <v>-0.35067103588277926</v>
      </c>
      <c r="I33">
        <v>27</v>
      </c>
      <c r="J33">
        <f t="shared" si="8"/>
        <v>0.56714277882423014</v>
      </c>
      <c r="K33">
        <f t="shared" si="2"/>
        <v>0.5671435805521724</v>
      </c>
      <c r="L33" s="5">
        <f t="shared" si="3"/>
        <v>1.4136242915351041E-4</v>
      </c>
      <c r="M33" s="5">
        <f t="shared" si="4"/>
        <v>0.5671435805521724</v>
      </c>
      <c r="N33">
        <f t="shared" si="9"/>
        <v>4.2000000000000011</v>
      </c>
      <c r="O33">
        <f t="shared" si="5"/>
        <v>4.2000000000000011</v>
      </c>
      <c r="P33" s="5">
        <f t="shared" si="6"/>
        <v>1.4995576820477691E-2</v>
      </c>
      <c r="R33">
        <v>27</v>
      </c>
      <c r="S33">
        <f t="shared" si="10"/>
        <v>0.70346739888191223</v>
      </c>
      <c r="T33">
        <f t="shared" si="11"/>
        <v>0.70346744358539581</v>
      </c>
      <c r="U33">
        <f t="shared" si="12"/>
        <v>0.70346742123365402</v>
      </c>
      <c r="V33">
        <f t="shared" si="7"/>
        <v>-4.491384986149427E-8</v>
      </c>
      <c r="W33">
        <f t="shared" si="7"/>
        <v>4.0103291409909758E-8</v>
      </c>
      <c r="X33">
        <f t="shared" si="7"/>
        <v>-2.4052796421258904E-9</v>
      </c>
      <c r="Y33">
        <f t="shared" si="13"/>
        <v>3.1773670131836049E-6</v>
      </c>
      <c r="Z33">
        <f t="shared" si="14"/>
        <v>2.2351741790771484E-8</v>
      </c>
    </row>
    <row r="34" spans="1:26" x14ac:dyDescent="0.3">
      <c r="A34">
        <f t="shared" si="1"/>
        <v>0.90000000000000058</v>
      </c>
      <c r="B34">
        <f t="shared" si="0"/>
        <v>-0.49343034025940169</v>
      </c>
      <c r="R34">
        <v>28</v>
      </c>
      <c r="S34">
        <f t="shared" si="10"/>
        <v>0.70346742123365402</v>
      </c>
      <c r="T34">
        <f t="shared" si="11"/>
        <v>0.70346744358539581</v>
      </c>
      <c r="U34">
        <f t="shared" si="12"/>
        <v>0.70346743240952492</v>
      </c>
      <c r="V34">
        <f t="shared" si="7"/>
        <v>-2.4052796421258904E-9</v>
      </c>
      <c r="W34">
        <f t="shared" si="7"/>
        <v>4.0103291409909758E-8</v>
      </c>
      <c r="X34">
        <f t="shared" si="7"/>
        <v>1.8849005800625207E-8</v>
      </c>
      <c r="Y34">
        <f t="shared" si="13"/>
        <v>1.5886834813526503E-6</v>
      </c>
      <c r="Z34">
        <f t="shared" si="14"/>
        <v>1.1175870895385742E-8</v>
      </c>
    </row>
    <row r="35" spans="1:26" x14ac:dyDescent="0.3">
      <c r="A35">
        <f t="shared" si="1"/>
        <v>1.0000000000000007</v>
      </c>
      <c r="B35">
        <f t="shared" si="0"/>
        <v>-0.63212055882855855</v>
      </c>
      <c r="R35">
        <v>29</v>
      </c>
      <c r="S35">
        <f t="shared" si="10"/>
        <v>0.70346742123365402</v>
      </c>
      <c r="T35">
        <f t="shared" si="11"/>
        <v>0.70346743240952492</v>
      </c>
      <c r="U35">
        <f t="shared" si="12"/>
        <v>0.70346742682158947</v>
      </c>
      <c r="V35">
        <f t="shared" si="7"/>
        <v>-2.4052796421258904E-9</v>
      </c>
      <c r="W35">
        <f t="shared" si="7"/>
        <v>1.8849005800625207E-8</v>
      </c>
      <c r="X35">
        <f t="shared" si="7"/>
        <v>8.2218630792496583E-9</v>
      </c>
      <c r="Y35">
        <f t="shared" si="13"/>
        <v>7.943417469861131E-7</v>
      </c>
      <c r="Z35">
        <f t="shared" si="14"/>
        <v>5.5879354476928711E-9</v>
      </c>
    </row>
    <row r="36" spans="1:26" x14ac:dyDescent="0.3">
      <c r="A36">
        <f t="shared" si="1"/>
        <v>1.1000000000000008</v>
      </c>
      <c r="B36">
        <f t="shared" si="0"/>
        <v>-0.76712891630192148</v>
      </c>
      <c r="R36">
        <v>30</v>
      </c>
      <c r="S36">
        <f t="shared" si="10"/>
        <v>0.70346742123365402</v>
      </c>
      <c r="T36">
        <f t="shared" si="11"/>
        <v>0.70346742682158947</v>
      </c>
      <c r="U36">
        <f t="shared" si="12"/>
        <v>0.70346742402762175</v>
      </c>
      <c r="V36">
        <f t="shared" si="7"/>
        <v>-2.4052796421258904E-9</v>
      </c>
      <c r="W36">
        <f t="shared" si="7"/>
        <v>8.2218630792496583E-9</v>
      </c>
      <c r="X36">
        <f t="shared" si="7"/>
        <v>2.908291718561884E-9</v>
      </c>
      <c r="Y36">
        <f t="shared" si="13"/>
        <v>3.9717087507050363E-7</v>
      </c>
      <c r="Z36">
        <f t="shared" si="14"/>
        <v>2.7939677238464355E-9</v>
      </c>
    </row>
    <row r="37" spans="1:26" x14ac:dyDescent="0.3">
      <c r="A37">
        <f t="shared" si="1"/>
        <v>1.2000000000000008</v>
      </c>
      <c r="B37">
        <f t="shared" si="0"/>
        <v>-0.89880578808779898</v>
      </c>
      <c r="R37">
        <v>31</v>
      </c>
      <c r="S37">
        <f t="shared" si="10"/>
        <v>0.70346742123365402</v>
      </c>
      <c r="T37">
        <f t="shared" si="11"/>
        <v>0.70346742402762175</v>
      </c>
      <c r="U37">
        <f t="shared" si="12"/>
        <v>0.70346742263063788</v>
      </c>
      <c r="V37">
        <f t="shared" si="7"/>
        <v>-2.4052796421258904E-9</v>
      </c>
      <c r="W37">
        <f t="shared" si="7"/>
        <v>2.908291718561884E-9</v>
      </c>
      <c r="X37">
        <f t="shared" si="7"/>
        <v>2.5150609372914801E-10</v>
      </c>
      <c r="Y37">
        <f t="shared" si="13"/>
        <v>1.9858543792961358E-7</v>
      </c>
      <c r="Z37">
        <f t="shared" si="14"/>
        <v>1.3969838619232178E-9</v>
      </c>
    </row>
    <row r="38" spans="1:26" x14ac:dyDescent="0.3">
      <c r="A38">
        <f t="shared" si="1"/>
        <v>1.3000000000000009</v>
      </c>
      <c r="B38">
        <f t="shared" si="0"/>
        <v>-1.0274682069659886</v>
      </c>
      <c r="R38">
        <v>32</v>
      </c>
      <c r="S38">
        <f>IF(V37*X37&gt;0,U37,S37)</f>
        <v>0.70346742123365402</v>
      </c>
      <c r="T38">
        <f>IF(W37*X37&gt;0,U37,T37)</f>
        <v>0.70346742263063788</v>
      </c>
      <c r="U38">
        <f>AVERAGE(S38:T38)</f>
        <v>0.70346742193214595</v>
      </c>
      <c r="V38">
        <f t="shared" si="7"/>
        <v>-2.4052796421258904E-9</v>
      </c>
      <c r="W38">
        <f t="shared" si="7"/>
        <v>2.5150609372914801E-10</v>
      </c>
      <c r="X38">
        <f t="shared" si="7"/>
        <v>-1.0768868019539468E-9</v>
      </c>
      <c r="Y38">
        <f>ABS((U38-U37)/U38)*100</f>
        <v>9.9292719063397214E-8</v>
      </c>
      <c r="Z38">
        <f t="shared" si="14"/>
        <v>6.9849193096160889E-10</v>
      </c>
    </row>
    <row r="39" spans="1:26" x14ac:dyDescent="0.3">
      <c r="A39">
        <f t="shared" si="1"/>
        <v>1.400000000000001</v>
      </c>
      <c r="B39">
        <f t="shared" si="0"/>
        <v>-1.1534030360583949</v>
      </c>
      <c r="R39">
        <v>33</v>
      </c>
      <c r="S39">
        <f t="shared" ref="S39:S61" si="15">IF(V38*X38&gt;0,U38,S38)</f>
        <v>0.70346742193214595</v>
      </c>
      <c r="T39">
        <f t="shared" ref="T39:T61" si="16">IF(W38*X38&gt;0,U38,T38)</f>
        <v>0.70346742263063788</v>
      </c>
      <c r="U39">
        <f t="shared" ref="U39:U61" si="17">AVERAGE(S39:T39)</f>
        <v>0.70346742228139192</v>
      </c>
      <c r="V39">
        <f t="shared" si="7"/>
        <v>-1.0768868019539468E-9</v>
      </c>
      <c r="W39">
        <f t="shared" si="7"/>
        <v>2.5150609372914801E-10</v>
      </c>
      <c r="X39">
        <f t="shared" si="7"/>
        <v>-4.1269038186797502E-10</v>
      </c>
      <c r="Y39">
        <f t="shared" ref="Y39:Y61" si="18">ABS((U39-U38)/U39)*100</f>
        <v>4.9646359507051007E-8</v>
      </c>
      <c r="Z39">
        <f t="shared" si="14"/>
        <v>3.4924596548080444E-10</v>
      </c>
    </row>
    <row r="40" spans="1:26" x14ac:dyDescent="0.3">
      <c r="A40">
        <f t="shared" si="1"/>
        <v>1.5000000000000011</v>
      </c>
      <c r="B40">
        <f t="shared" si="0"/>
        <v>-1.2768698398515714</v>
      </c>
      <c r="R40">
        <v>34</v>
      </c>
      <c r="S40">
        <f t="shared" si="15"/>
        <v>0.70346742228139192</v>
      </c>
      <c r="T40">
        <f t="shared" si="16"/>
        <v>0.70346742263063788</v>
      </c>
      <c r="U40">
        <f t="shared" si="17"/>
        <v>0.7034674224560149</v>
      </c>
      <c r="V40">
        <f t="shared" si="7"/>
        <v>-4.1269038186797502E-10</v>
      </c>
      <c r="W40">
        <f t="shared" si="7"/>
        <v>2.5150609372914801E-10</v>
      </c>
      <c r="X40">
        <f t="shared" si="7"/>
        <v>-8.0592199580564738E-11</v>
      </c>
      <c r="Y40">
        <f t="shared" si="18"/>
        <v>2.4823179747363597E-8</v>
      </c>
      <c r="Z40">
        <f t="shared" si="14"/>
        <v>1.7462298274040222E-10</v>
      </c>
    </row>
    <row r="41" spans="1:26" x14ac:dyDescent="0.3">
      <c r="A41">
        <f t="shared" si="1"/>
        <v>1.6000000000000012</v>
      </c>
      <c r="B41">
        <f t="shared" si="0"/>
        <v>-1.398103482005346</v>
      </c>
      <c r="R41">
        <v>35</v>
      </c>
      <c r="S41">
        <f t="shared" si="15"/>
        <v>0.7034674224560149</v>
      </c>
      <c r="T41">
        <f t="shared" si="16"/>
        <v>0.70346742263063788</v>
      </c>
      <c r="U41">
        <f t="shared" si="17"/>
        <v>0.70346742254332639</v>
      </c>
      <c r="V41">
        <f t="shared" si="7"/>
        <v>-8.0592199580564738E-11</v>
      </c>
      <c r="W41">
        <f t="shared" si="7"/>
        <v>2.5150609372914801E-10</v>
      </c>
      <c r="X41">
        <f t="shared" si="7"/>
        <v>8.5456919318716018E-11</v>
      </c>
      <c r="Y41">
        <f t="shared" si="18"/>
        <v>1.2411589872141325E-8</v>
      </c>
      <c r="Z41">
        <f t="shared" si="14"/>
        <v>8.7311491370201111E-11</v>
      </c>
    </row>
    <row r="42" spans="1:26" x14ac:dyDescent="0.3">
      <c r="A42">
        <f t="shared" si="1"/>
        <v>1.7000000000000013</v>
      </c>
      <c r="B42">
        <f t="shared" si="0"/>
        <v>-1.5173164759472668</v>
      </c>
      <c r="R42">
        <v>36</v>
      </c>
      <c r="S42">
        <f t="shared" si="15"/>
        <v>0.7034674224560149</v>
      </c>
      <c r="T42">
        <f t="shared" si="16"/>
        <v>0.70346742254332639</v>
      </c>
      <c r="U42">
        <f t="shared" si="17"/>
        <v>0.70346742249967065</v>
      </c>
      <c r="V42">
        <f t="shared" si="7"/>
        <v>-8.0592199580564738E-11</v>
      </c>
      <c r="W42">
        <f t="shared" si="7"/>
        <v>8.5456919318716018E-11</v>
      </c>
      <c r="X42">
        <f t="shared" si="7"/>
        <v>2.4323876246512555E-12</v>
      </c>
      <c r="Y42">
        <f t="shared" si="18"/>
        <v>6.2057949364557805E-9</v>
      </c>
      <c r="Z42">
        <f t="shared" si="14"/>
        <v>4.3655745685100555E-11</v>
      </c>
    </row>
    <row r="43" spans="1:26" x14ac:dyDescent="0.3">
      <c r="A43">
        <f t="shared" si="1"/>
        <v>1.8000000000000014</v>
      </c>
      <c r="B43">
        <f t="shared" si="0"/>
        <v>-1.6347011117784152</v>
      </c>
      <c r="R43">
        <v>37</v>
      </c>
      <c r="S43">
        <f t="shared" si="15"/>
        <v>0.7034674224560149</v>
      </c>
      <c r="T43">
        <f t="shared" si="16"/>
        <v>0.70346742249967065</v>
      </c>
      <c r="U43">
        <f t="shared" si="17"/>
        <v>0.70346742247784277</v>
      </c>
      <c r="V43">
        <f t="shared" si="7"/>
        <v>-8.0592199580564738E-11</v>
      </c>
      <c r="W43">
        <f t="shared" si="7"/>
        <v>2.4323876246512555E-12</v>
      </c>
      <c r="X43">
        <f t="shared" si="7"/>
        <v>-3.907985046680551E-11</v>
      </c>
      <c r="Y43">
        <f t="shared" si="18"/>
        <v>3.1028974683241703E-9</v>
      </c>
      <c r="Z43">
        <f t="shared" si="14"/>
        <v>2.1827872842550278E-11</v>
      </c>
    </row>
    <row r="44" spans="1:26" x14ac:dyDescent="0.3">
      <c r="A44">
        <f t="shared" si="1"/>
        <v>1.9000000000000015</v>
      </c>
      <c r="B44">
        <f t="shared" si="0"/>
        <v>-1.7504313807773666</v>
      </c>
      <c r="R44">
        <v>38</v>
      </c>
      <c r="S44">
        <f t="shared" si="15"/>
        <v>0.70346742247784277</v>
      </c>
      <c r="T44">
        <f t="shared" si="16"/>
        <v>0.70346742249967065</v>
      </c>
      <c r="U44">
        <f t="shared" si="17"/>
        <v>0.70346742248875671</v>
      </c>
      <c r="V44">
        <f t="shared" si="7"/>
        <v>-3.907985046680551E-11</v>
      </c>
      <c r="W44">
        <f t="shared" si="7"/>
        <v>2.4323876246512555E-12</v>
      </c>
      <c r="X44">
        <f t="shared" si="7"/>
        <v>-1.8323731421077127E-11</v>
      </c>
      <c r="Y44">
        <f t="shared" si="18"/>
        <v>1.5514487341380152E-9</v>
      </c>
      <c r="Z44">
        <f t="shared" si="14"/>
        <v>1.0913936421275139E-11</v>
      </c>
    </row>
    <row r="45" spans="1:26" x14ac:dyDescent="0.3">
      <c r="A45">
        <f t="shared" si="1"/>
        <v>2.0000000000000013</v>
      </c>
      <c r="B45">
        <f t="shared" si="0"/>
        <v>-1.8646647167633887</v>
      </c>
      <c r="R45">
        <v>39</v>
      </c>
      <c r="S45">
        <f t="shared" si="15"/>
        <v>0.70346742248875671</v>
      </c>
      <c r="T45">
        <f t="shared" si="16"/>
        <v>0.70346742249967065</v>
      </c>
      <c r="U45">
        <f t="shared" si="17"/>
        <v>0.70346742249421368</v>
      </c>
      <c r="V45">
        <f t="shared" si="7"/>
        <v>-1.8323731421077127E-11</v>
      </c>
      <c r="W45">
        <f t="shared" si="7"/>
        <v>2.4323876246512555E-12</v>
      </c>
      <c r="X45">
        <f t="shared" si="7"/>
        <v>-7.9456441426373203E-12</v>
      </c>
      <c r="Y45">
        <f t="shared" si="18"/>
        <v>7.7572436706298999E-10</v>
      </c>
      <c r="Z45">
        <f t="shared" si="14"/>
        <v>5.4569682106375694E-12</v>
      </c>
    </row>
    <row r="46" spans="1:26" x14ac:dyDescent="0.3">
      <c r="R46">
        <v>40</v>
      </c>
      <c r="S46">
        <f t="shared" si="15"/>
        <v>0.70346742249421368</v>
      </c>
      <c r="T46">
        <f t="shared" si="16"/>
        <v>0.70346742249967065</v>
      </c>
      <c r="U46">
        <f t="shared" si="17"/>
        <v>0.70346742249694216</v>
      </c>
      <c r="V46">
        <f t="shared" si="7"/>
        <v>-7.9456441426373203E-12</v>
      </c>
      <c r="W46">
        <f t="shared" si="7"/>
        <v>2.4323876246512555E-12</v>
      </c>
      <c r="X46">
        <f t="shared" si="7"/>
        <v>-2.7566282589930324E-12</v>
      </c>
      <c r="Y46">
        <f t="shared" si="18"/>
        <v>3.8786218352999066E-10</v>
      </c>
      <c r="Z46">
        <f t="shared" si="14"/>
        <v>2.7284841053187847E-12</v>
      </c>
    </row>
    <row r="47" spans="1:26" x14ac:dyDescent="0.3">
      <c r="R47">
        <v>41</v>
      </c>
      <c r="S47">
        <f t="shared" si="15"/>
        <v>0.70346742249694216</v>
      </c>
      <c r="T47">
        <f t="shared" si="16"/>
        <v>0.70346742249967065</v>
      </c>
      <c r="U47">
        <f t="shared" si="17"/>
        <v>0.70346742249830641</v>
      </c>
      <c r="V47">
        <f t="shared" si="7"/>
        <v>-2.7566282589930324E-12</v>
      </c>
      <c r="W47">
        <f t="shared" si="7"/>
        <v>2.4323876246512555E-12</v>
      </c>
      <c r="X47">
        <f t="shared" si="7"/>
        <v>-1.6214807274650411E-13</v>
      </c>
      <c r="Y47">
        <f t="shared" si="18"/>
        <v>1.9393109176461925E-10</v>
      </c>
      <c r="Z47">
        <f t="shared" si="14"/>
        <v>1.3642420526593924E-12</v>
      </c>
    </row>
    <row r="48" spans="1:26" x14ac:dyDescent="0.3">
      <c r="R48">
        <v>42</v>
      </c>
      <c r="S48">
        <f t="shared" si="15"/>
        <v>0.70346742249830641</v>
      </c>
      <c r="T48">
        <f t="shared" si="16"/>
        <v>0.70346742249967065</v>
      </c>
      <c r="U48">
        <f t="shared" si="17"/>
        <v>0.70346742249898853</v>
      </c>
      <c r="V48">
        <f t="shared" si="7"/>
        <v>-1.6214807274650411E-13</v>
      </c>
      <c r="W48">
        <f t="shared" si="7"/>
        <v>2.4323876246512555E-12</v>
      </c>
      <c r="X48">
        <f t="shared" si="7"/>
        <v>1.13509202037676E-12</v>
      </c>
      <c r="Y48">
        <f t="shared" si="18"/>
        <v>9.6965545882215597E-11</v>
      </c>
      <c r="Z48">
        <f t="shared" si="14"/>
        <v>6.8212102632969618E-13</v>
      </c>
    </row>
    <row r="49" spans="18:26" x14ac:dyDescent="0.3">
      <c r="R49">
        <v>43</v>
      </c>
      <c r="S49">
        <f t="shared" si="15"/>
        <v>0.70346742249830641</v>
      </c>
      <c r="T49">
        <f t="shared" si="16"/>
        <v>0.70346742249898853</v>
      </c>
      <c r="U49">
        <f t="shared" si="17"/>
        <v>0.70346742249864747</v>
      </c>
      <c r="V49">
        <f t="shared" si="7"/>
        <v>-1.6214807274650411E-13</v>
      </c>
      <c r="W49">
        <f t="shared" si="7"/>
        <v>1.13509202037676E-12</v>
      </c>
      <c r="X49">
        <f t="shared" si="7"/>
        <v>4.864997293907436E-13</v>
      </c>
      <c r="Y49">
        <f t="shared" si="18"/>
        <v>4.8482772941131309E-11</v>
      </c>
      <c r="Z49">
        <f t="shared" si="14"/>
        <v>3.4106051316484809E-13</v>
      </c>
    </row>
    <row r="50" spans="18:26" x14ac:dyDescent="0.3">
      <c r="R50">
        <v>44</v>
      </c>
      <c r="S50">
        <f t="shared" si="15"/>
        <v>0.70346742249830641</v>
      </c>
      <c r="T50">
        <f t="shared" si="16"/>
        <v>0.70346742249864747</v>
      </c>
      <c r="U50">
        <f t="shared" si="17"/>
        <v>0.70346742249847694</v>
      </c>
      <c r="V50">
        <f t="shared" si="7"/>
        <v>-1.6214807274650411E-13</v>
      </c>
      <c r="W50">
        <f t="shared" si="7"/>
        <v>4.864997293907436E-13</v>
      </c>
      <c r="X50">
        <f t="shared" si="7"/>
        <v>1.6220358389773537E-13</v>
      </c>
      <c r="Y50">
        <f t="shared" si="18"/>
        <v>2.4241386470571532E-11</v>
      </c>
      <c r="Z50">
        <f t="shared" si="14"/>
        <v>1.7053025658242404E-13</v>
      </c>
    </row>
    <row r="51" spans="18:26" x14ac:dyDescent="0.3">
      <c r="R51">
        <v>45</v>
      </c>
      <c r="S51">
        <f t="shared" si="15"/>
        <v>0.70346742249830641</v>
      </c>
      <c r="T51">
        <f t="shared" si="16"/>
        <v>0.70346742249847694</v>
      </c>
      <c r="U51">
        <f t="shared" si="17"/>
        <v>0.70346742249839167</v>
      </c>
      <c r="V51">
        <f t="shared" si="7"/>
        <v>-1.6214807274650411E-13</v>
      </c>
      <c r="W51">
        <f t="shared" si="7"/>
        <v>1.6220358389773537E-13</v>
      </c>
      <c r="X51">
        <f t="shared" si="7"/>
        <v>0</v>
      </c>
      <c r="Y51">
        <f t="shared" si="18"/>
        <v>1.2120693235287234E-11</v>
      </c>
      <c r="Z51">
        <f t="shared" si="14"/>
        <v>8.5265128291212022E-14</v>
      </c>
    </row>
    <row r="52" spans="18:26" x14ac:dyDescent="0.3">
      <c r="R52">
        <v>46</v>
      </c>
      <c r="S52">
        <f t="shared" si="15"/>
        <v>0.70346742249830641</v>
      </c>
      <c r="T52">
        <f t="shared" si="16"/>
        <v>0.70346742249847694</v>
      </c>
      <c r="U52">
        <f t="shared" si="17"/>
        <v>0.70346742249839167</v>
      </c>
      <c r="V52">
        <f t="shared" si="7"/>
        <v>-1.6214807274650411E-13</v>
      </c>
      <c r="W52">
        <f t="shared" si="7"/>
        <v>1.6220358389773537E-13</v>
      </c>
      <c r="X52">
        <f t="shared" si="7"/>
        <v>0</v>
      </c>
      <c r="Y52">
        <f t="shared" si="18"/>
        <v>0</v>
      </c>
      <c r="Z52">
        <f t="shared" si="14"/>
        <v>0</v>
      </c>
    </row>
    <row r="53" spans="18:26" x14ac:dyDescent="0.3">
      <c r="R53">
        <v>47</v>
      </c>
      <c r="S53">
        <f t="shared" si="15"/>
        <v>0.70346742249830641</v>
      </c>
      <c r="T53">
        <f t="shared" si="16"/>
        <v>0.70346742249847694</v>
      </c>
      <c r="U53">
        <f t="shared" si="17"/>
        <v>0.70346742249839167</v>
      </c>
      <c r="V53">
        <f t="shared" si="7"/>
        <v>-1.6214807274650411E-13</v>
      </c>
      <c r="W53">
        <f t="shared" si="7"/>
        <v>1.6220358389773537E-13</v>
      </c>
      <c r="X53">
        <f t="shared" si="7"/>
        <v>0</v>
      </c>
      <c r="Y53">
        <f t="shared" si="18"/>
        <v>0</v>
      </c>
      <c r="Z53">
        <f t="shared" si="14"/>
        <v>0</v>
      </c>
    </row>
    <row r="54" spans="18:26" x14ac:dyDescent="0.3">
      <c r="R54">
        <v>48</v>
      </c>
      <c r="S54">
        <f t="shared" si="15"/>
        <v>0.70346742249830641</v>
      </c>
      <c r="T54">
        <f t="shared" si="16"/>
        <v>0.70346742249847694</v>
      </c>
      <c r="U54">
        <f t="shared" si="17"/>
        <v>0.70346742249839167</v>
      </c>
      <c r="V54">
        <f t="shared" si="7"/>
        <v>-1.6214807274650411E-13</v>
      </c>
      <c r="W54">
        <f t="shared" si="7"/>
        <v>1.6220358389773537E-13</v>
      </c>
      <c r="X54">
        <f t="shared" si="7"/>
        <v>0</v>
      </c>
      <c r="Y54">
        <f t="shared" si="18"/>
        <v>0</v>
      </c>
      <c r="Z54">
        <f t="shared" si="14"/>
        <v>0</v>
      </c>
    </row>
    <row r="55" spans="18:26" x14ac:dyDescent="0.3">
      <c r="R55">
        <v>49</v>
      </c>
      <c r="S55">
        <f t="shared" si="15"/>
        <v>0.70346742249830641</v>
      </c>
      <c r="T55">
        <f t="shared" si="16"/>
        <v>0.70346742249847694</v>
      </c>
      <c r="U55">
        <f t="shared" si="17"/>
        <v>0.70346742249839167</v>
      </c>
      <c r="V55">
        <f t="shared" si="7"/>
        <v>-1.6214807274650411E-13</v>
      </c>
      <c r="W55">
        <f t="shared" si="7"/>
        <v>1.6220358389773537E-13</v>
      </c>
      <c r="X55">
        <f t="shared" si="7"/>
        <v>0</v>
      </c>
      <c r="Y55">
        <f t="shared" si="18"/>
        <v>0</v>
      </c>
      <c r="Z55">
        <f t="shared" si="14"/>
        <v>0</v>
      </c>
    </row>
    <row r="56" spans="18:26" x14ac:dyDescent="0.3">
      <c r="R56">
        <v>50</v>
      </c>
      <c r="S56">
        <f t="shared" si="15"/>
        <v>0.70346742249830641</v>
      </c>
      <c r="T56">
        <f t="shared" si="16"/>
        <v>0.70346742249847694</v>
      </c>
      <c r="U56">
        <f t="shared" si="17"/>
        <v>0.70346742249839167</v>
      </c>
      <c r="V56">
        <f t="shared" si="7"/>
        <v>-1.6214807274650411E-13</v>
      </c>
      <c r="W56">
        <f t="shared" si="7"/>
        <v>1.6220358389773537E-13</v>
      </c>
      <c r="X56">
        <f t="shared" si="7"/>
        <v>0</v>
      </c>
      <c r="Y56">
        <f t="shared" si="18"/>
        <v>0</v>
      </c>
      <c r="Z56">
        <f t="shared" si="14"/>
        <v>0</v>
      </c>
    </row>
    <row r="57" spans="18:26" x14ac:dyDescent="0.3">
      <c r="R57">
        <v>51</v>
      </c>
      <c r="S57">
        <f t="shared" si="15"/>
        <v>0.70346742249830641</v>
      </c>
      <c r="T57">
        <f t="shared" si="16"/>
        <v>0.70346742249847694</v>
      </c>
      <c r="U57">
        <f t="shared" si="17"/>
        <v>0.70346742249839167</v>
      </c>
      <c r="V57">
        <f t="shared" si="7"/>
        <v>-1.6214807274650411E-13</v>
      </c>
      <c r="W57">
        <f t="shared" si="7"/>
        <v>1.6220358389773537E-13</v>
      </c>
      <c r="X57">
        <f t="shared" si="7"/>
        <v>0</v>
      </c>
      <c r="Y57">
        <f t="shared" si="18"/>
        <v>0</v>
      </c>
      <c r="Z57">
        <f t="shared" si="14"/>
        <v>0</v>
      </c>
    </row>
    <row r="58" spans="18:26" x14ac:dyDescent="0.3">
      <c r="R58">
        <v>52</v>
      </c>
      <c r="S58">
        <f t="shared" si="15"/>
        <v>0.70346742249830641</v>
      </c>
      <c r="T58">
        <f t="shared" si="16"/>
        <v>0.70346742249847694</v>
      </c>
      <c r="U58">
        <f t="shared" si="17"/>
        <v>0.70346742249839167</v>
      </c>
      <c r="V58">
        <f t="shared" si="7"/>
        <v>-1.6214807274650411E-13</v>
      </c>
      <c r="W58">
        <f t="shared" si="7"/>
        <v>1.6220358389773537E-13</v>
      </c>
      <c r="X58">
        <f t="shared" si="7"/>
        <v>0</v>
      </c>
      <c r="Y58">
        <f t="shared" si="18"/>
        <v>0</v>
      </c>
      <c r="Z58">
        <f t="shared" si="14"/>
        <v>0</v>
      </c>
    </row>
    <row r="59" spans="18:26" x14ac:dyDescent="0.3">
      <c r="R59">
        <v>53</v>
      </c>
      <c r="S59">
        <f t="shared" si="15"/>
        <v>0.70346742249830641</v>
      </c>
      <c r="T59">
        <f t="shared" si="16"/>
        <v>0.70346742249847694</v>
      </c>
      <c r="U59">
        <f t="shared" si="17"/>
        <v>0.70346742249839167</v>
      </c>
      <c r="V59">
        <f t="shared" si="7"/>
        <v>-1.6214807274650411E-13</v>
      </c>
      <c r="W59">
        <f t="shared" si="7"/>
        <v>1.6220358389773537E-13</v>
      </c>
      <c r="X59">
        <f t="shared" si="7"/>
        <v>0</v>
      </c>
      <c r="Y59">
        <f t="shared" si="18"/>
        <v>0</v>
      </c>
      <c r="Z59">
        <f t="shared" si="14"/>
        <v>0</v>
      </c>
    </row>
    <row r="60" spans="18:26" x14ac:dyDescent="0.3">
      <c r="R60">
        <v>54</v>
      </c>
      <c r="S60">
        <f t="shared" si="15"/>
        <v>0.70346742249830641</v>
      </c>
      <c r="T60">
        <f t="shared" si="16"/>
        <v>0.70346742249847694</v>
      </c>
      <c r="U60">
        <f t="shared" si="17"/>
        <v>0.70346742249839167</v>
      </c>
      <c r="V60">
        <f t="shared" si="7"/>
        <v>-1.6214807274650411E-13</v>
      </c>
      <c r="W60">
        <f t="shared" si="7"/>
        <v>1.6220358389773537E-13</v>
      </c>
      <c r="X60">
        <f t="shared" si="7"/>
        <v>0</v>
      </c>
      <c r="Y60">
        <f t="shared" si="18"/>
        <v>0</v>
      </c>
      <c r="Z60">
        <f t="shared" si="14"/>
        <v>0</v>
      </c>
    </row>
    <row r="61" spans="18:26" x14ac:dyDescent="0.3">
      <c r="R61">
        <v>55</v>
      </c>
      <c r="S61">
        <f t="shared" si="15"/>
        <v>0.70346742249830641</v>
      </c>
      <c r="T61">
        <f t="shared" si="16"/>
        <v>0.70346742249847694</v>
      </c>
      <c r="U61">
        <f t="shared" si="17"/>
        <v>0.70346742249839167</v>
      </c>
      <c r="V61">
        <f t="shared" si="7"/>
        <v>-1.6214807274650411E-13</v>
      </c>
      <c r="W61">
        <f t="shared" si="7"/>
        <v>1.6220358389773537E-13</v>
      </c>
      <c r="X61">
        <f t="shared" si="7"/>
        <v>0</v>
      </c>
      <c r="Y61">
        <f t="shared" si="18"/>
        <v>0</v>
      </c>
      <c r="Z61">
        <f t="shared" si="14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61"/>
  <sheetViews>
    <sheetView workbookViewId="0">
      <selection activeCell="R8" sqref="R8"/>
    </sheetView>
  </sheetViews>
  <sheetFormatPr defaultRowHeight="14.4" x14ac:dyDescent="0.3"/>
  <cols>
    <col min="16" max="22" width="9.109375" customWidth="1"/>
  </cols>
  <sheetData>
    <row r="1" spans="1:31" x14ac:dyDescent="0.3">
      <c r="A1" t="s">
        <v>0</v>
      </c>
    </row>
    <row r="4" spans="1:31" x14ac:dyDescent="0.3">
      <c r="A4" t="s">
        <v>1</v>
      </c>
      <c r="B4" t="s">
        <v>2</v>
      </c>
      <c r="C4" t="s">
        <v>3</v>
      </c>
      <c r="D4" t="s">
        <v>4</v>
      </c>
      <c r="J4" t="s">
        <v>5</v>
      </c>
      <c r="Q4" t="s">
        <v>19</v>
      </c>
      <c r="W4" t="s">
        <v>11</v>
      </c>
    </row>
    <row r="5" spans="1:31" x14ac:dyDescent="0.3">
      <c r="A5">
        <v>-2</v>
      </c>
      <c r="B5">
        <f>+A5^3</f>
        <v>-8</v>
      </c>
      <c r="C5">
        <f>3*A5^2</f>
        <v>12</v>
      </c>
      <c r="D5">
        <f>6*A5</f>
        <v>-12</v>
      </c>
    </row>
    <row r="6" spans="1:31" x14ac:dyDescent="0.3">
      <c r="A6">
        <f>+A5+0.1</f>
        <v>-1.9</v>
      </c>
      <c r="B6">
        <f t="shared" ref="B6:B45" si="0">+A6^3</f>
        <v>-6.8589999999999991</v>
      </c>
      <c r="C6">
        <f t="shared" ref="C6:C45" si="1">3*A6^2</f>
        <v>10.83</v>
      </c>
      <c r="D6">
        <f t="shared" ref="D6:D45" si="2">6*A6</f>
        <v>-11.399999999999999</v>
      </c>
      <c r="J6" t="s">
        <v>6</v>
      </c>
      <c r="K6" t="s">
        <v>9</v>
      </c>
      <c r="L6" t="s">
        <v>7</v>
      </c>
      <c r="M6" t="s">
        <v>8</v>
      </c>
      <c r="N6" s="1" t="s">
        <v>10</v>
      </c>
      <c r="O6" s="1" t="s">
        <v>18</v>
      </c>
      <c r="P6" s="1"/>
      <c r="Q6" t="s">
        <v>6</v>
      </c>
      <c r="R6" s="2" t="s">
        <v>9</v>
      </c>
      <c r="S6" s="2" t="s">
        <v>20</v>
      </c>
      <c r="T6" s="3" t="s">
        <v>21</v>
      </c>
      <c r="U6" s="3" t="s">
        <v>35</v>
      </c>
      <c r="V6" s="1"/>
      <c r="W6" t="s">
        <v>6</v>
      </c>
      <c r="X6" t="s">
        <v>12</v>
      </c>
      <c r="Y6" t="s">
        <v>13</v>
      </c>
      <c r="Z6" t="s">
        <v>14</v>
      </c>
      <c r="AA6" t="s">
        <v>15</v>
      </c>
      <c r="AB6" t="s">
        <v>16</v>
      </c>
      <c r="AC6" t="s">
        <v>17</v>
      </c>
      <c r="AD6" s="1" t="s">
        <v>10</v>
      </c>
      <c r="AE6" s="1" t="s">
        <v>18</v>
      </c>
    </row>
    <row r="7" spans="1:31" x14ac:dyDescent="0.3">
      <c r="A7">
        <f t="shared" ref="A7:A45" si="3">+A6+0.1</f>
        <v>-1.7999999999999998</v>
      </c>
      <c r="B7">
        <f t="shared" si="0"/>
        <v>-5.8319999999999981</v>
      </c>
      <c r="C7">
        <f t="shared" si="1"/>
        <v>9.7199999999999989</v>
      </c>
      <c r="D7">
        <f t="shared" si="2"/>
        <v>-10.799999999999999</v>
      </c>
      <c r="J7">
        <v>1</v>
      </c>
      <c r="K7" s="4">
        <v>0.1</v>
      </c>
      <c r="L7">
        <f>K7^3</f>
        <v>1.0000000000000002E-3</v>
      </c>
      <c r="M7">
        <f>3*K7^2</f>
        <v>3.0000000000000006E-2</v>
      </c>
      <c r="Q7">
        <v>1</v>
      </c>
      <c r="R7" s="4">
        <v>0.1</v>
      </c>
      <c r="S7">
        <f>R7^3+R7</f>
        <v>0.10100000000000001</v>
      </c>
      <c r="T7" s="5">
        <f>+ABS((S7-R7)/S7*100)</f>
        <v>0.99009900990099098</v>
      </c>
      <c r="U7">
        <f>3*R7^2+1</f>
        <v>1.03</v>
      </c>
      <c r="W7">
        <v>1</v>
      </c>
      <c r="X7">
        <v>-2</v>
      </c>
      <c r="Y7">
        <v>1</v>
      </c>
      <c r="Z7">
        <f>AVERAGE(X7:Y7)</f>
        <v>-0.5</v>
      </c>
      <c r="AA7">
        <f>X7^3</f>
        <v>-8</v>
      </c>
      <c r="AB7">
        <f>Y7^3</f>
        <v>1</v>
      </c>
      <c r="AC7">
        <f>Z7^3</f>
        <v>-0.125</v>
      </c>
    </row>
    <row r="8" spans="1:31" x14ac:dyDescent="0.3">
      <c r="A8">
        <f t="shared" si="3"/>
        <v>-1.6999999999999997</v>
      </c>
      <c r="B8">
        <f t="shared" si="0"/>
        <v>-4.9129999999999976</v>
      </c>
      <c r="C8">
        <f t="shared" si="1"/>
        <v>8.6699999999999982</v>
      </c>
      <c r="D8">
        <f t="shared" si="2"/>
        <v>-10.199999999999999</v>
      </c>
      <c r="J8">
        <v>2</v>
      </c>
      <c r="K8">
        <f>+K7-L7/M7</f>
        <v>6.666666666666668E-2</v>
      </c>
      <c r="L8">
        <f>K8^3</f>
        <v>2.9629629629629646E-4</v>
      </c>
      <c r="M8">
        <f>3*K8^2</f>
        <v>1.3333333333333339E-2</v>
      </c>
      <c r="N8">
        <f>ABS((K8-K7)/K8)*100</f>
        <v>49.999999999999979</v>
      </c>
      <c r="O8">
        <f>ABS(+K8-K7)</f>
        <v>3.3333333333333326E-2</v>
      </c>
      <c r="Q8">
        <v>2</v>
      </c>
      <c r="R8">
        <f>+S7</f>
        <v>0.10100000000000001</v>
      </c>
      <c r="S8">
        <f t="shared" ref="S8:S33" si="4">R8^3+R8</f>
        <v>0.102030301</v>
      </c>
      <c r="T8" s="5">
        <f t="shared" ref="T8:T9" si="5">+ABS((S8-R8)/S8*100)</f>
        <v>1.0097990399930286</v>
      </c>
      <c r="U8">
        <f t="shared" ref="U8:U33" si="6">3*R8^2+1</f>
        <v>1.0306029999999999</v>
      </c>
      <c r="W8">
        <v>2</v>
      </c>
      <c r="X8">
        <f>IF(AA7*AC7&gt;0,Z7,X7)</f>
        <v>-0.5</v>
      </c>
      <c r="Y8">
        <f>IF(AB7*AC7&gt;0,Z7,Y7)</f>
        <v>1</v>
      </c>
      <c r="Z8">
        <f>AVERAGE(X8:Y8)</f>
        <v>0.25</v>
      </c>
      <c r="AA8">
        <f t="shared" ref="AA8" si="7">X8^3</f>
        <v>-0.125</v>
      </c>
      <c r="AB8">
        <f t="shared" ref="AB8" si="8">Y8^3</f>
        <v>1</v>
      </c>
      <c r="AC8">
        <f t="shared" ref="AC8" si="9">Z8^3</f>
        <v>1.5625E-2</v>
      </c>
      <c r="AD8">
        <f>ABS((Z8-Z7)/Z8)*100</f>
        <v>300</v>
      </c>
      <c r="AE8">
        <f>ABS(+Z8-Z7)</f>
        <v>0.75</v>
      </c>
    </row>
    <row r="9" spans="1:31" x14ac:dyDescent="0.3">
      <c r="A9">
        <f t="shared" si="3"/>
        <v>-1.5999999999999996</v>
      </c>
      <c r="B9">
        <f t="shared" si="0"/>
        <v>-4.0959999999999974</v>
      </c>
      <c r="C9">
        <f t="shared" si="1"/>
        <v>7.6799999999999962</v>
      </c>
      <c r="D9">
        <f t="shared" si="2"/>
        <v>-9.5999999999999979</v>
      </c>
      <c r="J9">
        <v>3</v>
      </c>
      <c r="K9">
        <f t="shared" ref="K9:K29" si="10">+K8-L8/M8</f>
        <v>4.4444444444444453E-2</v>
      </c>
      <c r="L9">
        <f t="shared" ref="L9:L60" si="11">K9^3</f>
        <v>8.7791495198902663E-5</v>
      </c>
      <c r="M9">
        <f t="shared" ref="M9:M29" si="12">3*K9^2</f>
        <v>5.9259259259259282E-3</v>
      </c>
      <c r="N9">
        <f t="shared" ref="N9:N60" si="13">ABS((K9-K8)/K9)*100</f>
        <v>50</v>
      </c>
      <c r="O9">
        <f t="shared" ref="O9:O60" si="14">ABS(+K9-K8)</f>
        <v>2.2222222222222227E-2</v>
      </c>
      <c r="Q9">
        <v>3</v>
      </c>
      <c r="R9">
        <f t="shared" ref="R9" si="15">+S8</f>
        <v>0.102030301</v>
      </c>
      <c r="S9">
        <f t="shared" si="4"/>
        <v>0.10309245503579391</v>
      </c>
      <c r="T9" s="5">
        <f t="shared" si="5"/>
        <v>1.0302926973900497</v>
      </c>
      <c r="U9">
        <f t="shared" si="6"/>
        <v>1.0312305469664518</v>
      </c>
      <c r="W9">
        <v>3</v>
      </c>
      <c r="X9">
        <f t="shared" ref="X9:X24" si="16">IF(AA8*AC8&gt;0,Z8,X8)</f>
        <v>-0.5</v>
      </c>
      <c r="Y9">
        <f t="shared" ref="Y9:Y24" si="17">IF(AB8*AC8&gt;0,Z8,Y8)</f>
        <v>0.25</v>
      </c>
      <c r="Z9">
        <f t="shared" ref="Z9:Z24" si="18">AVERAGE(X9:Y9)</f>
        <v>-0.125</v>
      </c>
      <c r="AA9">
        <f t="shared" ref="AA9:AA24" si="19">X9^3</f>
        <v>-0.125</v>
      </c>
      <c r="AB9">
        <f t="shared" ref="AB9:AB24" si="20">Y9^3</f>
        <v>1.5625E-2</v>
      </c>
      <c r="AC9">
        <f t="shared" ref="AC9:AC24" si="21">Z9^3</f>
        <v>-1.953125E-3</v>
      </c>
      <c r="AD9">
        <f t="shared" ref="AD9:AD24" si="22">ABS((Z9-Z8)/Z9)*100</f>
        <v>300</v>
      </c>
      <c r="AE9">
        <f t="shared" ref="AE9:AE61" si="23">ABS(+Z9-Z8)</f>
        <v>0.375</v>
      </c>
    </row>
    <row r="10" spans="1:31" x14ac:dyDescent="0.3">
      <c r="A10">
        <f t="shared" si="3"/>
        <v>-1.4999999999999996</v>
      </c>
      <c r="B10">
        <f t="shared" si="0"/>
        <v>-3.3749999999999969</v>
      </c>
      <c r="C10">
        <f t="shared" si="1"/>
        <v>6.7499999999999964</v>
      </c>
      <c r="D10">
        <f t="shared" si="2"/>
        <v>-8.9999999999999964</v>
      </c>
      <c r="J10">
        <v>4</v>
      </c>
      <c r="K10">
        <f t="shared" si="10"/>
        <v>2.9629629629629634E-2</v>
      </c>
      <c r="L10">
        <f t="shared" si="11"/>
        <v>2.6012294873748934E-5</v>
      </c>
      <c r="M10">
        <f t="shared" si="12"/>
        <v>2.6337448559670793E-3</v>
      </c>
      <c r="N10">
        <f t="shared" si="13"/>
        <v>50.000000000000014</v>
      </c>
      <c r="O10">
        <f t="shared" si="14"/>
        <v>1.4814814814814819E-2</v>
      </c>
      <c r="Q10">
        <v>4</v>
      </c>
      <c r="R10">
        <f t="shared" ref="R10:R33" si="24">+S9</f>
        <v>0.10309245503579391</v>
      </c>
      <c r="S10">
        <f t="shared" si="4"/>
        <v>0.10418812724431992</v>
      </c>
      <c r="T10" s="5">
        <f t="shared" ref="T10:T33" si="25">+ABS((S10-R10)/S10*100)</f>
        <v>1.0516286620227557</v>
      </c>
      <c r="U10">
        <f t="shared" si="6"/>
        <v>1.0318841628559217</v>
      </c>
      <c r="W10">
        <v>4</v>
      </c>
      <c r="X10">
        <f t="shared" si="16"/>
        <v>-0.125</v>
      </c>
      <c r="Y10">
        <f t="shared" si="17"/>
        <v>0.25</v>
      </c>
      <c r="Z10">
        <f t="shared" si="18"/>
        <v>6.25E-2</v>
      </c>
      <c r="AA10">
        <f t="shared" si="19"/>
        <v>-1.953125E-3</v>
      </c>
      <c r="AB10">
        <f t="shared" si="20"/>
        <v>1.5625E-2</v>
      </c>
      <c r="AC10">
        <f t="shared" si="21"/>
        <v>2.44140625E-4</v>
      </c>
      <c r="AD10">
        <f t="shared" si="22"/>
        <v>300</v>
      </c>
      <c r="AE10">
        <f t="shared" si="23"/>
        <v>0.1875</v>
      </c>
    </row>
    <row r="11" spans="1:31" x14ac:dyDescent="0.3">
      <c r="A11">
        <f t="shared" si="3"/>
        <v>-1.3999999999999995</v>
      </c>
      <c r="B11">
        <f t="shared" si="0"/>
        <v>-2.7439999999999967</v>
      </c>
      <c r="C11">
        <f t="shared" si="1"/>
        <v>5.8799999999999955</v>
      </c>
      <c r="D11">
        <f t="shared" si="2"/>
        <v>-8.3999999999999968</v>
      </c>
      <c r="J11">
        <v>5</v>
      </c>
      <c r="K11">
        <f t="shared" si="10"/>
        <v>1.9753086419753089E-2</v>
      </c>
      <c r="L11">
        <f t="shared" si="11"/>
        <v>7.7073466292589426E-6</v>
      </c>
      <c r="M11">
        <f t="shared" si="12"/>
        <v>1.1705532693187018E-3</v>
      </c>
      <c r="N11">
        <f t="shared" si="13"/>
        <v>50</v>
      </c>
      <c r="O11">
        <f t="shared" si="14"/>
        <v>9.8765432098765447E-3</v>
      </c>
      <c r="Q11">
        <v>5</v>
      </c>
      <c r="R11">
        <f t="shared" si="24"/>
        <v>0.10418812724431992</v>
      </c>
      <c r="S11">
        <f t="shared" si="4"/>
        <v>0.10531910664606212</v>
      </c>
      <c r="T11" s="5">
        <f t="shared" si="25"/>
        <v>1.0738596611372668</v>
      </c>
      <c r="U11">
        <f t="shared" si="6"/>
        <v>1.0325654975760359</v>
      </c>
      <c r="W11">
        <v>5</v>
      </c>
      <c r="X11">
        <f t="shared" si="16"/>
        <v>-0.125</v>
      </c>
      <c r="Y11">
        <f t="shared" si="17"/>
        <v>6.25E-2</v>
      </c>
      <c r="Z11">
        <f t="shared" si="18"/>
        <v>-3.125E-2</v>
      </c>
      <c r="AA11">
        <f t="shared" si="19"/>
        <v>-1.953125E-3</v>
      </c>
      <c r="AB11">
        <f t="shared" si="20"/>
        <v>2.44140625E-4</v>
      </c>
      <c r="AC11">
        <f t="shared" si="21"/>
        <v>-3.0517578125E-5</v>
      </c>
      <c r="AD11">
        <f t="shared" si="22"/>
        <v>300</v>
      </c>
      <c r="AE11">
        <f t="shared" si="23"/>
        <v>9.375E-2</v>
      </c>
    </row>
    <row r="12" spans="1:31" x14ac:dyDescent="0.3">
      <c r="A12">
        <f t="shared" si="3"/>
        <v>-1.2999999999999994</v>
      </c>
      <c r="B12">
        <f t="shared" si="0"/>
        <v>-2.196999999999997</v>
      </c>
      <c r="C12">
        <f t="shared" si="1"/>
        <v>5.069999999999995</v>
      </c>
      <c r="D12">
        <f t="shared" si="2"/>
        <v>-7.7999999999999963</v>
      </c>
      <c r="J12">
        <v>6</v>
      </c>
      <c r="K12">
        <f t="shared" si="10"/>
        <v>1.3168724279835394E-2</v>
      </c>
      <c r="L12">
        <f t="shared" si="11"/>
        <v>2.2836582605211688E-6</v>
      </c>
      <c r="M12">
        <f t="shared" si="12"/>
        <v>5.2024589747497857E-4</v>
      </c>
      <c r="N12">
        <f t="shared" si="13"/>
        <v>49.999999999999986</v>
      </c>
      <c r="O12">
        <f t="shared" si="14"/>
        <v>6.5843621399176953E-3</v>
      </c>
      <c r="Q12">
        <v>6</v>
      </c>
      <c r="R12">
        <f t="shared" si="24"/>
        <v>0.10531910664606212</v>
      </c>
      <c r="S12">
        <f t="shared" si="4"/>
        <v>0.10648731820702619</v>
      </c>
      <c r="T12" s="5">
        <f t="shared" si="25"/>
        <v>1.0970428973456756</v>
      </c>
      <c r="U12">
        <f t="shared" si="6"/>
        <v>1.0332763426741738</v>
      </c>
      <c r="W12">
        <v>6</v>
      </c>
      <c r="X12">
        <f t="shared" si="16"/>
        <v>-3.125E-2</v>
      </c>
      <c r="Y12">
        <f t="shared" si="17"/>
        <v>6.25E-2</v>
      </c>
      <c r="Z12">
        <f t="shared" si="18"/>
        <v>1.5625E-2</v>
      </c>
      <c r="AA12">
        <f t="shared" si="19"/>
        <v>-3.0517578125E-5</v>
      </c>
      <c r="AB12">
        <f t="shared" si="20"/>
        <v>2.44140625E-4</v>
      </c>
      <c r="AC12">
        <f t="shared" si="21"/>
        <v>3.814697265625E-6</v>
      </c>
      <c r="AD12">
        <f t="shared" si="22"/>
        <v>300</v>
      </c>
      <c r="AE12">
        <f t="shared" si="23"/>
        <v>4.6875E-2</v>
      </c>
    </row>
    <row r="13" spans="1:31" x14ac:dyDescent="0.3">
      <c r="A13">
        <f t="shared" si="3"/>
        <v>-1.1999999999999993</v>
      </c>
      <c r="B13">
        <f t="shared" si="0"/>
        <v>-1.7279999999999971</v>
      </c>
      <c r="C13">
        <f t="shared" si="1"/>
        <v>4.319999999999995</v>
      </c>
      <c r="D13">
        <f t="shared" si="2"/>
        <v>-7.1999999999999957</v>
      </c>
      <c r="J13">
        <v>7</v>
      </c>
      <c r="K13">
        <f t="shared" si="10"/>
        <v>8.7791495198902628E-3</v>
      </c>
      <c r="L13">
        <f t="shared" si="11"/>
        <v>6.7663948459886488E-7</v>
      </c>
      <c r="M13">
        <f t="shared" si="12"/>
        <v>2.312203988777683E-4</v>
      </c>
      <c r="N13">
        <f t="shared" si="13"/>
        <v>50</v>
      </c>
      <c r="O13">
        <f t="shared" si="14"/>
        <v>4.3895747599451314E-3</v>
      </c>
      <c r="Q13">
        <v>7</v>
      </c>
      <c r="R13">
        <f t="shared" si="24"/>
        <v>0.10648731820702619</v>
      </c>
      <c r="S13">
        <f t="shared" si="4"/>
        <v>0.10769483636320958</v>
      </c>
      <c r="T13" s="5">
        <f t="shared" si="25"/>
        <v>1.1212405320074375</v>
      </c>
      <c r="U13">
        <f t="shared" si="6"/>
        <v>1.0340186468167734</v>
      </c>
      <c r="W13">
        <v>7</v>
      </c>
      <c r="X13">
        <f t="shared" si="16"/>
        <v>-3.125E-2</v>
      </c>
      <c r="Y13">
        <f t="shared" si="17"/>
        <v>1.5625E-2</v>
      </c>
      <c r="Z13">
        <f t="shared" si="18"/>
        <v>-7.8125E-3</v>
      </c>
      <c r="AA13">
        <f t="shared" si="19"/>
        <v>-3.0517578125E-5</v>
      </c>
      <c r="AB13">
        <f t="shared" si="20"/>
        <v>3.814697265625E-6</v>
      </c>
      <c r="AC13">
        <f t="shared" si="21"/>
        <v>-4.76837158203125E-7</v>
      </c>
      <c r="AD13">
        <f t="shared" si="22"/>
        <v>300</v>
      </c>
      <c r="AE13">
        <f t="shared" si="23"/>
        <v>2.34375E-2</v>
      </c>
    </row>
    <row r="14" spans="1:31" x14ac:dyDescent="0.3">
      <c r="A14">
        <f t="shared" si="3"/>
        <v>-1.0999999999999992</v>
      </c>
      <c r="B14">
        <f t="shared" si="0"/>
        <v>-1.3309999999999971</v>
      </c>
      <c r="C14">
        <f t="shared" si="1"/>
        <v>3.6299999999999946</v>
      </c>
      <c r="D14">
        <f t="shared" si="2"/>
        <v>-6.5999999999999952</v>
      </c>
      <c r="J14">
        <v>8</v>
      </c>
      <c r="K14">
        <f t="shared" si="10"/>
        <v>5.8527663465935079E-3</v>
      </c>
      <c r="L14">
        <f t="shared" si="11"/>
        <v>2.0048577321447841E-7</v>
      </c>
      <c r="M14">
        <f t="shared" si="12"/>
        <v>1.0276462172345255E-4</v>
      </c>
      <c r="N14">
        <f t="shared" si="13"/>
        <v>50.000000000000014</v>
      </c>
      <c r="O14">
        <f t="shared" si="14"/>
        <v>2.9263831732967548E-3</v>
      </c>
      <c r="Q14">
        <v>8</v>
      </c>
      <c r="R14">
        <f t="shared" si="24"/>
        <v>0.10769483636320958</v>
      </c>
      <c r="S14">
        <f t="shared" si="4"/>
        <v>0.10894390022126255</v>
      </c>
      <c r="T14" s="5">
        <f t="shared" si="25"/>
        <v>1.146520232446379</v>
      </c>
      <c r="U14">
        <f t="shared" si="6"/>
        <v>1.0347945333378954</v>
      </c>
      <c r="W14">
        <v>8</v>
      </c>
      <c r="X14">
        <f t="shared" si="16"/>
        <v>-7.8125E-3</v>
      </c>
      <c r="Y14">
        <f t="shared" si="17"/>
        <v>1.5625E-2</v>
      </c>
      <c r="Z14">
        <f t="shared" si="18"/>
        <v>3.90625E-3</v>
      </c>
      <c r="AA14">
        <f t="shared" si="19"/>
        <v>-4.76837158203125E-7</v>
      </c>
      <c r="AB14">
        <f t="shared" si="20"/>
        <v>3.814697265625E-6</v>
      </c>
      <c r="AC14">
        <f t="shared" si="21"/>
        <v>5.9604644775390625E-8</v>
      </c>
      <c r="AD14">
        <f t="shared" si="22"/>
        <v>300</v>
      </c>
      <c r="AE14">
        <f t="shared" si="23"/>
        <v>1.171875E-2</v>
      </c>
    </row>
    <row r="15" spans="1:31" x14ac:dyDescent="0.3">
      <c r="A15">
        <f t="shared" si="3"/>
        <v>-0.99999999999999922</v>
      </c>
      <c r="B15">
        <f t="shared" si="0"/>
        <v>-0.99999999999999767</v>
      </c>
      <c r="C15">
        <f t="shared" si="1"/>
        <v>2.9999999999999956</v>
      </c>
      <c r="D15">
        <f t="shared" si="2"/>
        <v>-5.9999999999999956</v>
      </c>
      <c r="J15">
        <v>9</v>
      </c>
      <c r="K15">
        <f t="shared" si="10"/>
        <v>3.9018442310623383E-3</v>
      </c>
      <c r="L15">
        <f t="shared" si="11"/>
        <v>5.9403192063549151E-8</v>
      </c>
      <c r="M15">
        <f t="shared" si="12"/>
        <v>4.5673165210423353E-5</v>
      </c>
      <c r="N15">
        <f t="shared" si="13"/>
        <v>50.000000000000014</v>
      </c>
      <c r="O15">
        <f t="shared" si="14"/>
        <v>1.9509221155311696E-3</v>
      </c>
      <c r="Q15">
        <v>9</v>
      </c>
      <c r="R15">
        <f t="shared" si="24"/>
        <v>0.10894390022126255</v>
      </c>
      <c r="S15">
        <f t="shared" si="4"/>
        <v>0.11023693068580201</v>
      </c>
      <c r="T15" s="5">
        <f t="shared" si="25"/>
        <v>1.1729557930317078</v>
      </c>
      <c r="U15">
        <f t="shared" si="6"/>
        <v>1.0356063201862613</v>
      </c>
      <c r="W15">
        <v>9</v>
      </c>
      <c r="X15">
        <f t="shared" si="16"/>
        <v>-7.8125E-3</v>
      </c>
      <c r="Y15">
        <f t="shared" si="17"/>
        <v>3.90625E-3</v>
      </c>
      <c r="Z15">
        <f t="shared" si="18"/>
        <v>-1.953125E-3</v>
      </c>
      <c r="AA15">
        <f t="shared" si="19"/>
        <v>-4.76837158203125E-7</v>
      </c>
      <c r="AB15">
        <f t="shared" si="20"/>
        <v>5.9604644775390625E-8</v>
      </c>
      <c r="AC15">
        <f t="shared" si="21"/>
        <v>-7.4505805969238281E-9</v>
      </c>
      <c r="AD15">
        <f t="shared" si="22"/>
        <v>300</v>
      </c>
      <c r="AE15">
        <f t="shared" si="23"/>
        <v>5.859375E-3</v>
      </c>
    </row>
    <row r="16" spans="1:31" x14ac:dyDescent="0.3">
      <c r="A16">
        <f t="shared" si="3"/>
        <v>-0.89999999999999925</v>
      </c>
      <c r="B16">
        <f t="shared" si="0"/>
        <v>-0.72899999999999809</v>
      </c>
      <c r="C16">
        <f t="shared" si="1"/>
        <v>2.4299999999999957</v>
      </c>
      <c r="D16">
        <f t="shared" si="2"/>
        <v>-5.399999999999995</v>
      </c>
      <c r="J16">
        <v>10</v>
      </c>
      <c r="K16">
        <f t="shared" si="10"/>
        <v>2.6012294873748922E-3</v>
      </c>
      <c r="L16">
        <f t="shared" si="11"/>
        <v>1.7600945796607156E-8</v>
      </c>
      <c r="M16">
        <f t="shared" si="12"/>
        <v>2.0299184537965936E-5</v>
      </c>
      <c r="N16">
        <f t="shared" si="13"/>
        <v>50</v>
      </c>
      <c r="O16">
        <f t="shared" si="14"/>
        <v>1.3006147436874461E-3</v>
      </c>
      <c r="Q16">
        <v>10</v>
      </c>
      <c r="R16">
        <f t="shared" si="24"/>
        <v>0.11023693068580201</v>
      </c>
      <c r="S16">
        <f t="shared" si="4"/>
        <v>0.11157654980792646</v>
      </c>
      <c r="T16" s="5">
        <f t="shared" si="25"/>
        <v>1.2006278419887855</v>
      </c>
      <c r="U16">
        <f t="shared" si="6"/>
        <v>1.036456542661079</v>
      </c>
      <c r="W16">
        <v>10</v>
      </c>
      <c r="X16">
        <f t="shared" si="16"/>
        <v>-1.953125E-3</v>
      </c>
      <c r="Y16">
        <f t="shared" si="17"/>
        <v>3.90625E-3</v>
      </c>
      <c r="Z16">
        <f t="shared" si="18"/>
        <v>9.765625E-4</v>
      </c>
      <c r="AA16">
        <f t="shared" si="19"/>
        <v>-7.4505805969238281E-9</v>
      </c>
      <c r="AB16">
        <f t="shared" si="20"/>
        <v>5.9604644775390625E-8</v>
      </c>
      <c r="AC16">
        <f t="shared" si="21"/>
        <v>9.3132257461547852E-10</v>
      </c>
      <c r="AD16">
        <f t="shared" si="22"/>
        <v>300</v>
      </c>
      <c r="AE16">
        <f t="shared" si="23"/>
        <v>2.9296875E-3</v>
      </c>
    </row>
    <row r="17" spans="1:31" x14ac:dyDescent="0.3">
      <c r="A17">
        <f t="shared" si="3"/>
        <v>-0.79999999999999927</v>
      </c>
      <c r="B17">
        <f t="shared" si="0"/>
        <v>-0.51199999999999857</v>
      </c>
      <c r="C17">
        <f t="shared" si="1"/>
        <v>1.9199999999999964</v>
      </c>
      <c r="D17">
        <f t="shared" si="2"/>
        <v>-4.7999999999999954</v>
      </c>
      <c r="J17">
        <v>11</v>
      </c>
      <c r="K17">
        <f t="shared" si="10"/>
        <v>1.7341529915832616E-3</v>
      </c>
      <c r="L17">
        <f t="shared" si="11"/>
        <v>5.2150950508465652E-9</v>
      </c>
      <c r="M17">
        <f t="shared" si="12"/>
        <v>9.0218597946515272E-6</v>
      </c>
      <c r="N17">
        <f t="shared" si="13"/>
        <v>49.999999999999993</v>
      </c>
      <c r="O17">
        <f t="shared" si="14"/>
        <v>8.6707649579163067E-4</v>
      </c>
      <c r="Q17">
        <v>11</v>
      </c>
      <c r="R17">
        <f t="shared" si="24"/>
        <v>0.11157654980792646</v>
      </c>
      <c r="S17">
        <f t="shared" si="4"/>
        <v>0.11296560270255136</v>
      </c>
      <c r="T17" s="5">
        <f t="shared" si="25"/>
        <v>1.2296246480288389</v>
      </c>
      <c r="U17">
        <f t="shared" si="6"/>
        <v>1.037347979401122</v>
      </c>
      <c r="W17">
        <v>11</v>
      </c>
      <c r="X17">
        <f t="shared" si="16"/>
        <v>-1.953125E-3</v>
      </c>
      <c r="Y17">
        <f t="shared" si="17"/>
        <v>9.765625E-4</v>
      </c>
      <c r="Z17">
        <f t="shared" si="18"/>
        <v>-4.8828125E-4</v>
      </c>
      <c r="AA17">
        <f t="shared" si="19"/>
        <v>-7.4505805969238281E-9</v>
      </c>
      <c r="AB17">
        <f t="shared" si="20"/>
        <v>9.3132257461547852E-10</v>
      </c>
      <c r="AC17">
        <f t="shared" si="21"/>
        <v>-1.1641532182693481E-10</v>
      </c>
      <c r="AD17">
        <f t="shared" si="22"/>
        <v>300</v>
      </c>
      <c r="AE17">
        <f t="shared" si="23"/>
        <v>1.46484375E-3</v>
      </c>
    </row>
    <row r="18" spans="1:31" x14ac:dyDescent="0.3">
      <c r="A18">
        <f t="shared" si="3"/>
        <v>-0.69999999999999929</v>
      </c>
      <c r="B18">
        <f t="shared" si="0"/>
        <v>-0.34299999999999897</v>
      </c>
      <c r="C18">
        <f t="shared" si="1"/>
        <v>1.4699999999999971</v>
      </c>
      <c r="D18">
        <f t="shared" si="2"/>
        <v>-4.1999999999999957</v>
      </c>
      <c r="J18">
        <v>12</v>
      </c>
      <c r="K18">
        <f t="shared" si="10"/>
        <v>1.1561019943888409E-3</v>
      </c>
      <c r="L18">
        <f t="shared" si="11"/>
        <v>1.5452133483989815E-9</v>
      </c>
      <c r="M18">
        <f t="shared" si="12"/>
        <v>4.0097154642895659E-6</v>
      </c>
      <c r="N18">
        <f t="shared" si="13"/>
        <v>50.000000000000021</v>
      </c>
      <c r="O18">
        <f t="shared" si="14"/>
        <v>5.7805099719442066E-4</v>
      </c>
      <c r="Q18">
        <v>12</v>
      </c>
      <c r="R18">
        <f t="shared" si="24"/>
        <v>0.11296560270255136</v>
      </c>
      <c r="S18">
        <f t="shared" si="4"/>
        <v>0.11440718244633331</v>
      </c>
      <c r="T18" s="5">
        <f t="shared" si="25"/>
        <v>1.2600430435896579</v>
      </c>
      <c r="U18">
        <f t="shared" si="6"/>
        <v>1.038283682181852</v>
      </c>
      <c r="W18">
        <v>12</v>
      </c>
      <c r="X18">
        <f t="shared" si="16"/>
        <v>-4.8828125E-4</v>
      </c>
      <c r="Y18">
        <f t="shared" si="17"/>
        <v>9.765625E-4</v>
      </c>
      <c r="Z18">
        <f t="shared" si="18"/>
        <v>2.44140625E-4</v>
      </c>
      <c r="AA18">
        <f t="shared" si="19"/>
        <v>-1.1641532182693481E-10</v>
      </c>
      <c r="AB18">
        <f t="shared" si="20"/>
        <v>9.3132257461547852E-10</v>
      </c>
      <c r="AC18">
        <f t="shared" si="21"/>
        <v>1.4551915228366852E-11</v>
      </c>
      <c r="AD18">
        <f t="shared" si="22"/>
        <v>300</v>
      </c>
      <c r="AE18">
        <f t="shared" si="23"/>
        <v>7.32421875E-4</v>
      </c>
    </row>
    <row r="19" spans="1:31" x14ac:dyDescent="0.3">
      <c r="A19">
        <f t="shared" si="3"/>
        <v>-0.59999999999999931</v>
      </c>
      <c r="B19">
        <f t="shared" si="0"/>
        <v>-0.21599999999999925</v>
      </c>
      <c r="C19">
        <f t="shared" si="1"/>
        <v>1.0799999999999974</v>
      </c>
      <c r="D19">
        <f t="shared" si="2"/>
        <v>-3.5999999999999961</v>
      </c>
      <c r="J19">
        <v>13</v>
      </c>
      <c r="K19">
        <f t="shared" si="10"/>
        <v>7.7073466292589389E-4</v>
      </c>
      <c r="L19">
        <f t="shared" si="11"/>
        <v>4.5784099211821667E-10</v>
      </c>
      <c r="M19">
        <f t="shared" si="12"/>
        <v>1.7820957619064737E-6</v>
      </c>
      <c r="N19">
        <f t="shared" si="13"/>
        <v>50.000000000000014</v>
      </c>
      <c r="O19">
        <f t="shared" si="14"/>
        <v>3.85367331462947E-4</v>
      </c>
      <c r="Q19">
        <v>13</v>
      </c>
      <c r="R19">
        <f t="shared" si="24"/>
        <v>0.11440718244633331</v>
      </c>
      <c r="S19">
        <f t="shared" si="4"/>
        <v>0.11590465844582105</v>
      </c>
      <c r="T19" s="5">
        <f t="shared" si="25"/>
        <v>1.2919894847778934</v>
      </c>
      <c r="U19">
        <f t="shared" si="6"/>
        <v>1.0392670101859258</v>
      </c>
      <c r="W19">
        <v>13</v>
      </c>
      <c r="X19">
        <f t="shared" si="16"/>
        <v>-4.8828125E-4</v>
      </c>
      <c r="Y19">
        <f t="shared" si="17"/>
        <v>2.44140625E-4</v>
      </c>
      <c r="Z19">
        <f t="shared" si="18"/>
        <v>-1.220703125E-4</v>
      </c>
      <c r="AA19">
        <f t="shared" si="19"/>
        <v>-1.1641532182693481E-10</v>
      </c>
      <c r="AB19">
        <f t="shared" si="20"/>
        <v>1.4551915228366852E-11</v>
      </c>
      <c r="AC19">
        <f t="shared" si="21"/>
        <v>-1.8189894035458565E-12</v>
      </c>
      <c r="AD19">
        <f t="shared" si="22"/>
        <v>300</v>
      </c>
      <c r="AE19">
        <f t="shared" si="23"/>
        <v>3.662109375E-4</v>
      </c>
    </row>
    <row r="20" spans="1:31" x14ac:dyDescent="0.3">
      <c r="A20">
        <f t="shared" si="3"/>
        <v>-0.49999999999999933</v>
      </c>
      <c r="B20">
        <f t="shared" si="0"/>
        <v>-0.1249999999999995</v>
      </c>
      <c r="C20">
        <f t="shared" si="1"/>
        <v>0.749999999999998</v>
      </c>
      <c r="D20">
        <f t="shared" si="2"/>
        <v>-2.999999999999996</v>
      </c>
      <c r="J20">
        <v>14</v>
      </c>
      <c r="K20">
        <f t="shared" si="10"/>
        <v>5.1382310861726259E-4</v>
      </c>
      <c r="L20">
        <f t="shared" si="11"/>
        <v>1.3565659025724941E-10</v>
      </c>
      <c r="M20">
        <f t="shared" si="12"/>
        <v>7.9204256084732169E-7</v>
      </c>
      <c r="N20">
        <f t="shared" si="13"/>
        <v>50</v>
      </c>
      <c r="O20">
        <f t="shared" si="14"/>
        <v>2.569115543086313E-4</v>
      </c>
      <c r="Q20">
        <v>14</v>
      </c>
      <c r="R20">
        <f t="shared" si="24"/>
        <v>0.11590465844582105</v>
      </c>
      <c r="S20">
        <f t="shared" si="4"/>
        <v>0.11746170886041946</v>
      </c>
      <c r="T20" s="5">
        <f t="shared" si="25"/>
        <v>1.3255812721477218</v>
      </c>
      <c r="U20">
        <f t="shared" si="6"/>
        <v>1.0403016695483274</v>
      </c>
      <c r="W20">
        <v>14</v>
      </c>
      <c r="X20">
        <f t="shared" si="16"/>
        <v>-1.220703125E-4</v>
      </c>
      <c r="Y20">
        <f t="shared" si="17"/>
        <v>2.44140625E-4</v>
      </c>
      <c r="Z20">
        <f t="shared" si="18"/>
        <v>6.103515625E-5</v>
      </c>
      <c r="AA20">
        <f t="shared" si="19"/>
        <v>-1.8189894035458565E-12</v>
      </c>
      <c r="AB20">
        <f t="shared" si="20"/>
        <v>1.4551915228366852E-11</v>
      </c>
      <c r="AC20">
        <f t="shared" si="21"/>
        <v>2.2737367544323206E-13</v>
      </c>
      <c r="AD20">
        <f t="shared" si="22"/>
        <v>300</v>
      </c>
      <c r="AE20">
        <f t="shared" si="23"/>
        <v>1.8310546875E-4</v>
      </c>
    </row>
    <row r="21" spans="1:31" x14ac:dyDescent="0.3">
      <c r="A21">
        <f t="shared" si="3"/>
        <v>-0.39999999999999936</v>
      </c>
      <c r="B21">
        <f t="shared" si="0"/>
        <v>-6.3999999999999682E-2</v>
      </c>
      <c r="C21">
        <f t="shared" si="1"/>
        <v>0.47999999999999843</v>
      </c>
      <c r="D21">
        <f t="shared" si="2"/>
        <v>-2.3999999999999959</v>
      </c>
      <c r="J21">
        <v>15</v>
      </c>
      <c r="K21">
        <f t="shared" si="10"/>
        <v>3.4254873907817504E-4</v>
      </c>
      <c r="L21">
        <f t="shared" si="11"/>
        <v>4.0194545261407219E-11</v>
      </c>
      <c r="M21">
        <f t="shared" si="12"/>
        <v>3.520189159321429E-7</v>
      </c>
      <c r="N21">
        <f t="shared" si="13"/>
        <v>50.000000000000014</v>
      </c>
      <c r="O21">
        <f t="shared" si="14"/>
        <v>1.7127436953908755E-4</v>
      </c>
      <c r="Q21">
        <v>15</v>
      </c>
      <c r="R21">
        <f t="shared" si="24"/>
        <v>0.11746170886041946</v>
      </c>
      <c r="S21">
        <f t="shared" si="4"/>
        <v>0.11908235778106532</v>
      </c>
      <c r="T21" s="5">
        <f t="shared" si="25"/>
        <v>1.3609479614314108</v>
      </c>
      <c r="U21">
        <f t="shared" si="6"/>
        <v>1.0413917591452297</v>
      </c>
      <c r="W21">
        <v>15</v>
      </c>
      <c r="X21">
        <f t="shared" si="16"/>
        <v>-1.220703125E-4</v>
      </c>
      <c r="Y21">
        <f t="shared" si="17"/>
        <v>6.103515625E-5</v>
      </c>
      <c r="Z21">
        <f t="shared" si="18"/>
        <v>-3.0517578125E-5</v>
      </c>
      <c r="AA21">
        <f t="shared" si="19"/>
        <v>-1.8189894035458565E-12</v>
      </c>
      <c r="AB21">
        <f t="shared" si="20"/>
        <v>2.2737367544323206E-13</v>
      </c>
      <c r="AC21">
        <f t="shared" si="21"/>
        <v>-2.8421709430404007E-14</v>
      </c>
      <c r="AD21">
        <f t="shared" si="22"/>
        <v>300</v>
      </c>
      <c r="AE21">
        <f t="shared" si="23"/>
        <v>9.1552734375E-5</v>
      </c>
    </row>
    <row r="22" spans="1:31" x14ac:dyDescent="0.3">
      <c r="A22">
        <f t="shared" si="3"/>
        <v>-0.29999999999999938</v>
      </c>
      <c r="B22">
        <f t="shared" si="0"/>
        <v>-2.699999999999983E-2</v>
      </c>
      <c r="C22">
        <f t="shared" si="1"/>
        <v>0.26999999999999885</v>
      </c>
      <c r="D22">
        <f t="shared" si="2"/>
        <v>-1.7999999999999963</v>
      </c>
      <c r="J22">
        <v>16</v>
      </c>
      <c r="K22">
        <f t="shared" si="10"/>
        <v>2.283658260521167E-4</v>
      </c>
      <c r="L22">
        <f t="shared" si="11"/>
        <v>1.1909494892268806E-11</v>
      </c>
      <c r="M22">
        <f t="shared" si="12"/>
        <v>1.5645285152539685E-7</v>
      </c>
      <c r="N22">
        <f t="shared" si="13"/>
        <v>50</v>
      </c>
      <c r="O22">
        <f t="shared" si="14"/>
        <v>1.1418291302605835E-4</v>
      </c>
      <c r="Q22">
        <v>16</v>
      </c>
      <c r="R22">
        <f t="shared" si="24"/>
        <v>0.11908235778106532</v>
      </c>
      <c r="S22">
        <f t="shared" si="4"/>
        <v>0.12077101800869801</v>
      </c>
      <c r="T22" s="5">
        <f t="shared" si="25"/>
        <v>1.3982329995024689</v>
      </c>
      <c r="U22">
        <f t="shared" si="6"/>
        <v>1.0425418238040929</v>
      </c>
      <c r="W22">
        <v>16</v>
      </c>
      <c r="X22">
        <f t="shared" si="16"/>
        <v>-3.0517578125E-5</v>
      </c>
      <c r="Y22">
        <f t="shared" si="17"/>
        <v>6.103515625E-5</v>
      </c>
      <c r="Z22">
        <f t="shared" si="18"/>
        <v>1.52587890625E-5</v>
      </c>
      <c r="AA22">
        <f t="shared" si="19"/>
        <v>-2.8421709430404007E-14</v>
      </c>
      <c r="AB22">
        <f t="shared" si="20"/>
        <v>2.2737367544323206E-13</v>
      </c>
      <c r="AC22">
        <f t="shared" si="21"/>
        <v>3.5527136788005009E-15</v>
      </c>
      <c r="AD22">
        <f t="shared" si="22"/>
        <v>300</v>
      </c>
      <c r="AE22">
        <f t="shared" si="23"/>
        <v>4.57763671875E-5</v>
      </c>
    </row>
    <row r="23" spans="1:31" x14ac:dyDescent="0.3">
      <c r="A23">
        <f t="shared" si="3"/>
        <v>-0.19999999999999937</v>
      </c>
      <c r="B23">
        <f t="shared" si="0"/>
        <v>-7.9999999999999256E-3</v>
      </c>
      <c r="C23">
        <f t="shared" si="1"/>
        <v>0.11999999999999925</v>
      </c>
      <c r="D23">
        <f t="shared" si="2"/>
        <v>-1.1999999999999962</v>
      </c>
      <c r="J23">
        <v>17</v>
      </c>
      <c r="K23">
        <f t="shared" si="10"/>
        <v>1.5224388403474446E-4</v>
      </c>
      <c r="L23">
        <f t="shared" si="11"/>
        <v>3.528739227338905E-12</v>
      </c>
      <c r="M23">
        <f t="shared" si="12"/>
        <v>6.9534600677954145E-8</v>
      </c>
      <c r="N23">
        <f t="shared" si="13"/>
        <v>50.000000000000014</v>
      </c>
      <c r="O23">
        <f t="shared" si="14"/>
        <v>7.6121942017372241E-5</v>
      </c>
      <c r="Q23">
        <v>17</v>
      </c>
      <c r="R23">
        <f t="shared" si="24"/>
        <v>0.12077101800869801</v>
      </c>
      <c r="S23">
        <f t="shared" si="4"/>
        <v>0.122532540453777</v>
      </c>
      <c r="T23" s="5">
        <f t="shared" si="25"/>
        <v>1.4375956285208082</v>
      </c>
      <c r="U23">
        <f t="shared" si="6"/>
        <v>1.0437569163725717</v>
      </c>
      <c r="W23">
        <v>17</v>
      </c>
      <c r="X23">
        <f t="shared" si="16"/>
        <v>-3.0517578125E-5</v>
      </c>
      <c r="Y23">
        <f t="shared" si="17"/>
        <v>1.52587890625E-5</v>
      </c>
      <c r="Z23">
        <f t="shared" si="18"/>
        <v>-7.62939453125E-6</v>
      </c>
      <c r="AA23">
        <f t="shared" si="19"/>
        <v>-2.8421709430404007E-14</v>
      </c>
      <c r="AB23">
        <f t="shared" si="20"/>
        <v>3.5527136788005009E-15</v>
      </c>
      <c r="AC23">
        <f t="shared" si="21"/>
        <v>-4.4408920985006262E-16</v>
      </c>
      <c r="AD23">
        <f t="shared" si="22"/>
        <v>300</v>
      </c>
      <c r="AE23">
        <f t="shared" si="23"/>
        <v>2.288818359375E-5</v>
      </c>
    </row>
    <row r="24" spans="1:31" x14ac:dyDescent="0.3">
      <c r="A24">
        <f t="shared" si="3"/>
        <v>-9.9999999999999367E-2</v>
      </c>
      <c r="B24">
        <f t="shared" si="0"/>
        <v>-9.9999999999998094E-4</v>
      </c>
      <c r="C24">
        <f t="shared" si="1"/>
        <v>2.9999999999999621E-2</v>
      </c>
      <c r="D24">
        <f t="shared" si="2"/>
        <v>-0.5999999999999962</v>
      </c>
      <c r="J24">
        <v>18</v>
      </c>
      <c r="K24">
        <f t="shared" si="10"/>
        <v>1.0149592268982963E-4</v>
      </c>
      <c r="L24">
        <f t="shared" si="11"/>
        <v>1.0455523636559717E-12</v>
      </c>
      <c r="M24">
        <f t="shared" si="12"/>
        <v>3.0904266967979619E-8</v>
      </c>
      <c r="N24">
        <f t="shared" si="13"/>
        <v>50.000000000000014</v>
      </c>
      <c r="O24">
        <f t="shared" si="14"/>
        <v>5.0747961344914827E-5</v>
      </c>
      <c r="Q24">
        <v>18</v>
      </c>
      <c r="R24">
        <f t="shared" si="24"/>
        <v>0.122532540453777</v>
      </c>
      <c r="S24">
        <f t="shared" si="4"/>
        <v>0.12437227139850374</v>
      </c>
      <c r="T24" s="5">
        <f t="shared" si="25"/>
        <v>1.4792131108002518</v>
      </c>
      <c r="U24">
        <f t="shared" si="6"/>
        <v>1.0450426704101694</v>
      </c>
      <c r="W24">
        <v>18</v>
      </c>
      <c r="X24">
        <f t="shared" si="16"/>
        <v>-7.62939453125E-6</v>
      </c>
      <c r="Y24">
        <f t="shared" si="17"/>
        <v>1.52587890625E-5</v>
      </c>
      <c r="Z24">
        <f t="shared" si="18"/>
        <v>3.814697265625E-6</v>
      </c>
      <c r="AA24">
        <f t="shared" si="19"/>
        <v>-4.4408920985006262E-16</v>
      </c>
      <c r="AB24">
        <f t="shared" si="20"/>
        <v>3.5527136788005009E-15</v>
      </c>
      <c r="AC24">
        <f t="shared" si="21"/>
        <v>5.5511151231257827E-17</v>
      </c>
      <c r="AD24">
        <f t="shared" si="22"/>
        <v>300</v>
      </c>
      <c r="AE24">
        <f t="shared" si="23"/>
        <v>1.1444091796875E-5</v>
      </c>
    </row>
    <row r="25" spans="1:31" x14ac:dyDescent="0.3">
      <c r="A25">
        <f t="shared" si="3"/>
        <v>6.3837823915946501E-16</v>
      </c>
      <c r="B25">
        <f t="shared" si="0"/>
        <v>2.6015622582153396E-46</v>
      </c>
      <c r="C25">
        <f t="shared" si="1"/>
        <v>1.2225803286970173E-30</v>
      </c>
      <c r="D25">
        <f t="shared" si="2"/>
        <v>3.8302694349567901E-15</v>
      </c>
      <c r="J25">
        <v>19</v>
      </c>
      <c r="K25">
        <f t="shared" si="10"/>
        <v>6.7663948459886428E-5</v>
      </c>
      <c r="L25">
        <f t="shared" si="11"/>
        <v>3.0979329293510282E-13</v>
      </c>
      <c r="M25">
        <f t="shared" si="12"/>
        <v>1.3735229763546502E-8</v>
      </c>
      <c r="N25">
        <f t="shared" si="13"/>
        <v>49.999999999999979</v>
      </c>
      <c r="O25">
        <f t="shared" si="14"/>
        <v>3.38319742299432E-5</v>
      </c>
      <c r="Q25">
        <v>19</v>
      </c>
      <c r="R25">
        <f t="shared" si="24"/>
        <v>0.12437227139850374</v>
      </c>
      <c r="S25">
        <f t="shared" si="4"/>
        <v>0.12629611913915534</v>
      </c>
      <c r="T25" s="5">
        <f t="shared" si="25"/>
        <v>1.5232833390009966</v>
      </c>
      <c r="U25">
        <f t="shared" si="6"/>
        <v>1.0464053856784692</v>
      </c>
      <c r="W25">
        <v>19</v>
      </c>
      <c r="X25">
        <f t="shared" ref="X25:X37" si="26">IF(AA24*AC24&gt;0,Z24,X24)</f>
        <v>-7.62939453125E-6</v>
      </c>
      <c r="Y25">
        <f t="shared" ref="Y25:Y37" si="27">IF(AB24*AC24&gt;0,Z24,Y24)</f>
        <v>3.814697265625E-6</v>
      </c>
      <c r="Z25">
        <f t="shared" ref="Z25:Z37" si="28">AVERAGE(X25:Y25)</f>
        <v>-1.9073486328125E-6</v>
      </c>
      <c r="AA25">
        <f t="shared" ref="AA25:AA37" si="29">X25^3</f>
        <v>-4.4408920985006262E-16</v>
      </c>
      <c r="AB25">
        <f t="shared" ref="AB25:AB37" si="30">Y25^3</f>
        <v>5.5511151231257827E-17</v>
      </c>
      <c r="AC25">
        <f t="shared" ref="AC25:AC37" si="31">Z25^3</f>
        <v>-6.9388939039072284E-18</v>
      </c>
      <c r="AD25">
        <f t="shared" ref="AD25:AD37" si="32">ABS((Z25-Z24)/Z25)*100</f>
        <v>300</v>
      </c>
      <c r="AE25">
        <f t="shared" si="23"/>
        <v>5.7220458984375E-6</v>
      </c>
    </row>
    <row r="26" spans="1:31" x14ac:dyDescent="0.3">
      <c r="A26">
        <f t="shared" si="3"/>
        <v>0.10000000000000064</v>
      </c>
      <c r="B26">
        <f t="shared" si="0"/>
        <v>1.0000000000000193E-3</v>
      </c>
      <c r="C26">
        <f t="shared" si="1"/>
        <v>3.0000000000000387E-2</v>
      </c>
      <c r="D26">
        <f t="shared" si="2"/>
        <v>0.60000000000000386</v>
      </c>
      <c r="J26">
        <v>20</v>
      </c>
      <c r="K26">
        <f t="shared" si="10"/>
        <v>4.5109298973257621E-5</v>
      </c>
      <c r="L26">
        <f t="shared" si="11"/>
        <v>9.1790605314104562E-14</v>
      </c>
      <c r="M26">
        <f t="shared" si="12"/>
        <v>6.1045465615762232E-9</v>
      </c>
      <c r="N26">
        <f t="shared" si="13"/>
        <v>49.999999999999993</v>
      </c>
      <c r="O26">
        <f t="shared" si="14"/>
        <v>2.2554649486628807E-5</v>
      </c>
      <c r="Q26">
        <v>20</v>
      </c>
      <c r="R26">
        <f t="shared" si="24"/>
        <v>0.12629611913915534</v>
      </c>
      <c r="S26">
        <f t="shared" si="4"/>
        <v>0.12831063187299455</v>
      </c>
      <c r="T26" s="5">
        <f t="shared" si="25"/>
        <v>1.5700279115087117</v>
      </c>
      <c r="U26">
        <f t="shared" si="6"/>
        <v>1.0478521291288352</v>
      </c>
      <c r="W26">
        <v>20</v>
      </c>
      <c r="X26">
        <f t="shared" si="26"/>
        <v>-1.9073486328125E-6</v>
      </c>
      <c r="Y26">
        <f t="shared" si="27"/>
        <v>3.814697265625E-6</v>
      </c>
      <c r="Z26">
        <f t="shared" si="28"/>
        <v>9.5367431640625E-7</v>
      </c>
      <c r="AA26">
        <f t="shared" si="29"/>
        <v>-6.9388939039072284E-18</v>
      </c>
      <c r="AB26">
        <f t="shared" si="30"/>
        <v>5.5511151231257827E-17</v>
      </c>
      <c r="AC26">
        <f t="shared" si="31"/>
        <v>8.6736173798840355E-19</v>
      </c>
      <c r="AD26">
        <f t="shared" si="32"/>
        <v>300</v>
      </c>
      <c r="AE26">
        <f t="shared" si="23"/>
        <v>2.86102294921875E-6</v>
      </c>
    </row>
    <row r="27" spans="1:31" x14ac:dyDescent="0.3">
      <c r="A27">
        <f t="shared" si="3"/>
        <v>0.20000000000000065</v>
      </c>
      <c r="B27">
        <f t="shared" si="0"/>
        <v>8.0000000000000782E-3</v>
      </c>
      <c r="C27">
        <f t="shared" si="1"/>
        <v>0.12000000000000077</v>
      </c>
      <c r="D27">
        <f t="shared" si="2"/>
        <v>1.200000000000004</v>
      </c>
      <c r="J27">
        <v>21</v>
      </c>
      <c r="K27">
        <f t="shared" si="10"/>
        <v>3.0072865982171747E-5</v>
      </c>
      <c r="L27">
        <f t="shared" si="11"/>
        <v>2.7197216389364312E-14</v>
      </c>
      <c r="M27">
        <f t="shared" si="12"/>
        <v>2.713131805144988E-9</v>
      </c>
      <c r="N27">
        <f t="shared" si="13"/>
        <v>50</v>
      </c>
      <c r="O27">
        <f t="shared" si="14"/>
        <v>1.5036432991085874E-5</v>
      </c>
      <c r="Q27">
        <v>21</v>
      </c>
      <c r="R27">
        <f t="shared" si="24"/>
        <v>0.12831063187299455</v>
      </c>
      <c r="S27">
        <f t="shared" si="4"/>
        <v>0.13042308913377915</v>
      </c>
      <c r="T27" s="5">
        <f t="shared" si="25"/>
        <v>1.6196957722859833</v>
      </c>
      <c r="U27">
        <f t="shared" si="6"/>
        <v>1.0493908547549413</v>
      </c>
      <c r="W27">
        <v>21</v>
      </c>
      <c r="X27">
        <f t="shared" si="26"/>
        <v>-1.9073486328125E-6</v>
      </c>
      <c r="Y27">
        <f t="shared" si="27"/>
        <v>9.5367431640625E-7</v>
      </c>
      <c r="Z27">
        <f t="shared" si="28"/>
        <v>-4.76837158203125E-7</v>
      </c>
      <c r="AA27">
        <f t="shared" si="29"/>
        <v>-6.9388939039072284E-18</v>
      </c>
      <c r="AB27">
        <f t="shared" si="30"/>
        <v>8.6736173798840355E-19</v>
      </c>
      <c r="AC27">
        <f t="shared" si="31"/>
        <v>-1.0842021724855044E-19</v>
      </c>
      <c r="AD27">
        <f t="shared" si="32"/>
        <v>300</v>
      </c>
      <c r="AE27">
        <f t="shared" si="23"/>
        <v>1.430511474609375E-6</v>
      </c>
    </row>
    <row r="28" spans="1:31" x14ac:dyDescent="0.3">
      <c r="A28">
        <f t="shared" si="3"/>
        <v>0.30000000000000066</v>
      </c>
      <c r="B28">
        <f t="shared" si="0"/>
        <v>2.700000000000018E-2</v>
      </c>
      <c r="C28">
        <f t="shared" si="1"/>
        <v>0.27000000000000118</v>
      </c>
      <c r="D28">
        <f t="shared" si="2"/>
        <v>1.8000000000000038</v>
      </c>
      <c r="J28">
        <v>22</v>
      </c>
      <c r="K28">
        <f t="shared" si="10"/>
        <v>2.0048577321447831E-5</v>
      </c>
      <c r="L28">
        <f t="shared" si="11"/>
        <v>8.0584344857375734E-15</v>
      </c>
      <c r="M28">
        <f t="shared" si="12"/>
        <v>1.2058363578422168E-9</v>
      </c>
      <c r="N28">
        <f t="shared" si="13"/>
        <v>50</v>
      </c>
      <c r="O28">
        <f t="shared" si="14"/>
        <v>1.0024288660723916E-5</v>
      </c>
      <c r="Q28">
        <v>22</v>
      </c>
      <c r="R28">
        <f t="shared" si="24"/>
        <v>0.13042308913377915</v>
      </c>
      <c r="S28">
        <f t="shared" si="4"/>
        <v>0.13264160964031846</v>
      </c>
      <c r="T28" s="5">
        <f t="shared" si="25"/>
        <v>1.6725675393680979</v>
      </c>
      <c r="U28">
        <f t="shared" si="6"/>
        <v>1.0510305465375931</v>
      </c>
      <c r="W28">
        <v>22</v>
      </c>
      <c r="X28">
        <f t="shared" si="26"/>
        <v>-4.76837158203125E-7</v>
      </c>
      <c r="Y28">
        <f t="shared" si="27"/>
        <v>9.5367431640625E-7</v>
      </c>
      <c r="Z28">
        <f t="shared" si="28"/>
        <v>2.384185791015625E-7</v>
      </c>
      <c r="AA28">
        <f t="shared" si="29"/>
        <v>-1.0842021724855044E-19</v>
      </c>
      <c r="AB28">
        <f t="shared" si="30"/>
        <v>8.6736173798840355E-19</v>
      </c>
      <c r="AC28">
        <f t="shared" si="31"/>
        <v>1.3552527156068805E-20</v>
      </c>
      <c r="AD28">
        <f t="shared" si="32"/>
        <v>300</v>
      </c>
      <c r="AE28">
        <f t="shared" si="23"/>
        <v>7.152557373046875E-7</v>
      </c>
    </row>
    <row r="29" spans="1:31" x14ac:dyDescent="0.3">
      <c r="A29">
        <f t="shared" si="3"/>
        <v>0.40000000000000069</v>
      </c>
      <c r="B29">
        <f t="shared" si="0"/>
        <v>6.4000000000000334E-2</v>
      </c>
      <c r="C29">
        <f t="shared" si="1"/>
        <v>0.48000000000000165</v>
      </c>
      <c r="D29">
        <f t="shared" si="2"/>
        <v>2.4000000000000039</v>
      </c>
      <c r="J29">
        <v>23</v>
      </c>
      <c r="K29">
        <f t="shared" si="10"/>
        <v>1.3365718214298555E-5</v>
      </c>
      <c r="L29">
        <f t="shared" si="11"/>
        <v>2.3876842920703929E-15</v>
      </c>
      <c r="M29">
        <f t="shared" si="12"/>
        <v>5.3592727015209646E-10</v>
      </c>
      <c r="N29">
        <f t="shared" si="13"/>
        <v>49.999999999999986</v>
      </c>
      <c r="O29">
        <f t="shared" si="14"/>
        <v>6.682859107149276E-6</v>
      </c>
      <c r="Q29">
        <v>23</v>
      </c>
      <c r="R29">
        <f t="shared" si="24"/>
        <v>0.13264160964031846</v>
      </c>
      <c r="S29">
        <f t="shared" si="4"/>
        <v>0.1349752791420846</v>
      </c>
      <c r="T29" s="5">
        <f t="shared" si="25"/>
        <v>1.7289606782806148</v>
      </c>
      <c r="U29">
        <f t="shared" si="6"/>
        <v>1.0527813898239238</v>
      </c>
      <c r="W29">
        <v>23</v>
      </c>
      <c r="X29">
        <f t="shared" si="26"/>
        <v>-4.76837158203125E-7</v>
      </c>
      <c r="Y29">
        <f t="shared" si="27"/>
        <v>2.384185791015625E-7</v>
      </c>
      <c r="Z29">
        <f t="shared" si="28"/>
        <v>-1.1920928955078125E-7</v>
      </c>
      <c r="AA29">
        <f t="shared" si="29"/>
        <v>-1.0842021724855044E-19</v>
      </c>
      <c r="AB29">
        <f t="shared" si="30"/>
        <v>1.3552527156068805E-20</v>
      </c>
      <c r="AC29">
        <f t="shared" si="31"/>
        <v>-1.6940658945086007E-21</v>
      </c>
      <c r="AD29">
        <f t="shared" si="32"/>
        <v>300</v>
      </c>
      <c r="AE29">
        <f t="shared" si="23"/>
        <v>3.5762786865234375E-7</v>
      </c>
    </row>
    <row r="30" spans="1:31" x14ac:dyDescent="0.3">
      <c r="A30">
        <f t="shared" si="3"/>
        <v>0.50000000000000067</v>
      </c>
      <c r="B30">
        <f t="shared" si="0"/>
        <v>0.1250000000000005</v>
      </c>
      <c r="C30">
        <f t="shared" si="1"/>
        <v>0.750000000000002</v>
      </c>
      <c r="D30">
        <f t="shared" si="2"/>
        <v>3.000000000000004</v>
      </c>
      <c r="J30">
        <v>24</v>
      </c>
      <c r="K30">
        <f t="shared" ref="K30:K60" si="33">+K29-L29/M29</f>
        <v>8.9104788095323697E-6</v>
      </c>
      <c r="L30">
        <f t="shared" si="11"/>
        <v>7.0746201246530145E-16</v>
      </c>
      <c r="M30">
        <f t="shared" ref="M30:M60" si="34">3*K30^2</f>
        <v>2.3818989784537617E-10</v>
      </c>
      <c r="N30">
        <f t="shared" si="13"/>
        <v>50.000000000000014</v>
      </c>
      <c r="O30">
        <f t="shared" si="14"/>
        <v>4.4552394047661857E-6</v>
      </c>
      <c r="Q30">
        <v>24</v>
      </c>
      <c r="R30">
        <f t="shared" si="24"/>
        <v>0.1349752791420846</v>
      </c>
      <c r="S30">
        <f t="shared" si="4"/>
        <v>0.13743430277666691</v>
      </c>
      <c r="T30" s="5">
        <f t="shared" si="25"/>
        <v>1.7892357183768477</v>
      </c>
      <c r="U30">
        <f t="shared" si="6"/>
        <v>1.0546549779384509</v>
      </c>
      <c r="W30">
        <v>24</v>
      </c>
      <c r="X30">
        <f t="shared" si="26"/>
        <v>-1.1920928955078125E-7</v>
      </c>
      <c r="Y30">
        <f t="shared" si="27"/>
        <v>2.384185791015625E-7</v>
      </c>
      <c r="Z30">
        <f t="shared" si="28"/>
        <v>5.9604644775390625E-8</v>
      </c>
      <c r="AA30">
        <f t="shared" si="29"/>
        <v>-1.6940658945086007E-21</v>
      </c>
      <c r="AB30">
        <f t="shared" si="30"/>
        <v>1.3552527156068805E-20</v>
      </c>
      <c r="AC30">
        <f t="shared" si="31"/>
        <v>2.1175823681357508E-22</v>
      </c>
      <c r="AD30">
        <f t="shared" si="32"/>
        <v>300</v>
      </c>
      <c r="AE30">
        <f t="shared" si="23"/>
        <v>1.7881393432617188E-7</v>
      </c>
    </row>
    <row r="31" spans="1:31" x14ac:dyDescent="0.3">
      <c r="A31">
        <f t="shared" si="3"/>
        <v>0.60000000000000064</v>
      </c>
      <c r="B31">
        <f t="shared" si="0"/>
        <v>0.21600000000000069</v>
      </c>
      <c r="C31">
        <f t="shared" si="1"/>
        <v>1.0800000000000023</v>
      </c>
      <c r="D31">
        <f t="shared" si="2"/>
        <v>3.6000000000000041</v>
      </c>
      <c r="J31">
        <v>25</v>
      </c>
      <c r="K31">
        <f t="shared" si="33"/>
        <v>5.9403192063549128E-6</v>
      </c>
      <c r="L31">
        <f t="shared" si="11"/>
        <v>2.0961837406379301E-16</v>
      </c>
      <c r="M31">
        <f t="shared" si="34"/>
        <v>1.0586217682016718E-10</v>
      </c>
      <c r="N31">
        <f t="shared" si="13"/>
        <v>50.000000000000014</v>
      </c>
      <c r="O31">
        <f t="shared" si="14"/>
        <v>2.9701596031774568E-6</v>
      </c>
      <c r="Q31">
        <v>25</v>
      </c>
      <c r="R31">
        <f t="shared" si="24"/>
        <v>0.13743430277666691</v>
      </c>
      <c r="S31">
        <f t="shared" si="4"/>
        <v>0.14003018766739905</v>
      </c>
      <c r="T31" s="5">
        <f t="shared" si="25"/>
        <v>1.8538037647267289</v>
      </c>
      <c r="U31">
        <f t="shared" si="6"/>
        <v>1.0566645627391256</v>
      </c>
      <c r="W31">
        <v>25</v>
      </c>
      <c r="X31">
        <f t="shared" si="26"/>
        <v>-1.1920928955078125E-7</v>
      </c>
      <c r="Y31">
        <f t="shared" si="27"/>
        <v>5.9604644775390625E-8</v>
      </c>
      <c r="Z31">
        <f t="shared" si="28"/>
        <v>-2.9802322387695313E-8</v>
      </c>
      <c r="AA31">
        <f t="shared" si="29"/>
        <v>-1.6940658945086007E-21</v>
      </c>
      <c r="AB31">
        <f t="shared" si="30"/>
        <v>2.1175823681357508E-22</v>
      </c>
      <c r="AC31">
        <f t="shared" si="31"/>
        <v>-2.6469779601696886E-23</v>
      </c>
      <c r="AD31">
        <f t="shared" si="32"/>
        <v>300</v>
      </c>
      <c r="AE31">
        <f t="shared" si="23"/>
        <v>8.9406967163085938E-8</v>
      </c>
    </row>
    <row r="32" spans="1:31" x14ac:dyDescent="0.3">
      <c r="A32">
        <f t="shared" si="3"/>
        <v>0.70000000000000062</v>
      </c>
      <c r="B32">
        <f t="shared" si="0"/>
        <v>0.34300000000000092</v>
      </c>
      <c r="C32">
        <f t="shared" si="1"/>
        <v>1.4700000000000026</v>
      </c>
      <c r="D32">
        <f t="shared" si="2"/>
        <v>4.2000000000000037</v>
      </c>
      <c r="J32">
        <v>26</v>
      </c>
      <c r="K32">
        <f t="shared" si="33"/>
        <v>3.9602128042366086E-6</v>
      </c>
      <c r="L32">
        <f t="shared" si="11"/>
        <v>6.2109147870753488E-17</v>
      </c>
      <c r="M32">
        <f t="shared" si="34"/>
        <v>4.704985636451875E-11</v>
      </c>
      <c r="N32">
        <f t="shared" si="13"/>
        <v>50</v>
      </c>
      <c r="O32">
        <f t="shared" si="14"/>
        <v>1.9801064021183043E-6</v>
      </c>
      <c r="Q32">
        <v>26</v>
      </c>
      <c r="R32">
        <f t="shared" si="24"/>
        <v>0.14003018766739905</v>
      </c>
      <c r="S32">
        <f t="shared" si="4"/>
        <v>0.14277596308501364</v>
      </c>
      <c r="T32" s="5">
        <f t="shared" si="25"/>
        <v>1.9231356303159097</v>
      </c>
      <c r="U32">
        <f t="shared" si="6"/>
        <v>1.058825360374501</v>
      </c>
      <c r="W32">
        <v>26</v>
      </c>
      <c r="X32">
        <f t="shared" si="26"/>
        <v>-2.9802322387695313E-8</v>
      </c>
      <c r="Y32">
        <f t="shared" si="27"/>
        <v>5.9604644775390625E-8</v>
      </c>
      <c r="Z32">
        <f t="shared" si="28"/>
        <v>1.4901161193847656E-8</v>
      </c>
      <c r="AA32">
        <f t="shared" si="29"/>
        <v>-2.6469779601696886E-23</v>
      </c>
      <c r="AB32">
        <f t="shared" si="30"/>
        <v>2.1175823681357508E-22</v>
      </c>
      <c r="AC32">
        <f t="shared" si="31"/>
        <v>3.3087224502121107E-24</v>
      </c>
      <c r="AD32">
        <f t="shared" si="32"/>
        <v>300</v>
      </c>
      <c r="AE32">
        <f t="shared" si="23"/>
        <v>4.4703483581542969E-8</v>
      </c>
    </row>
    <row r="33" spans="1:31" x14ac:dyDescent="0.3">
      <c r="A33">
        <f t="shared" si="3"/>
        <v>0.8000000000000006</v>
      </c>
      <c r="B33">
        <f t="shared" si="0"/>
        <v>0.51200000000000123</v>
      </c>
      <c r="C33">
        <f t="shared" si="1"/>
        <v>1.920000000000003</v>
      </c>
      <c r="D33">
        <f t="shared" si="2"/>
        <v>4.8000000000000034</v>
      </c>
      <c r="J33">
        <v>27</v>
      </c>
      <c r="K33">
        <f t="shared" si="33"/>
        <v>2.6401418694910721E-6</v>
      </c>
      <c r="L33">
        <f t="shared" si="11"/>
        <v>1.8402710480223248E-17</v>
      </c>
      <c r="M33">
        <f t="shared" si="34"/>
        <v>2.091104727311944E-11</v>
      </c>
      <c r="N33">
        <f t="shared" si="13"/>
        <v>50.000000000000014</v>
      </c>
      <c r="O33">
        <f t="shared" si="14"/>
        <v>1.3200709347455365E-6</v>
      </c>
      <c r="Q33">
        <v>27</v>
      </c>
      <c r="R33">
        <f t="shared" si="24"/>
        <v>0.14277596308501364</v>
      </c>
      <c r="S33">
        <f t="shared" si="4"/>
        <v>0.14568644761374433</v>
      </c>
      <c r="T33" s="5">
        <f t="shared" si="25"/>
        <v>1.9977730093654289</v>
      </c>
      <c r="U33">
        <f t="shared" si="6"/>
        <v>1.0611549269045595</v>
      </c>
      <c r="W33">
        <v>27</v>
      </c>
      <c r="X33">
        <f t="shared" si="26"/>
        <v>-2.9802322387695313E-8</v>
      </c>
      <c r="Y33">
        <f t="shared" si="27"/>
        <v>1.4901161193847656E-8</v>
      </c>
      <c r="Z33">
        <f t="shared" si="28"/>
        <v>-7.4505805969238281E-9</v>
      </c>
      <c r="AA33">
        <f t="shared" si="29"/>
        <v>-2.6469779601696886E-23</v>
      </c>
      <c r="AB33">
        <f t="shared" si="30"/>
        <v>3.3087224502121107E-24</v>
      </c>
      <c r="AC33">
        <f t="shared" si="31"/>
        <v>-4.1359030627651384E-25</v>
      </c>
      <c r="AD33">
        <f t="shared" si="32"/>
        <v>300</v>
      </c>
      <c r="AE33">
        <f t="shared" si="23"/>
        <v>2.2351741790771484E-8</v>
      </c>
    </row>
    <row r="34" spans="1:31" x14ac:dyDescent="0.3">
      <c r="A34">
        <f t="shared" si="3"/>
        <v>0.90000000000000058</v>
      </c>
      <c r="B34">
        <f t="shared" si="0"/>
        <v>0.72900000000000142</v>
      </c>
      <c r="C34">
        <f t="shared" si="1"/>
        <v>2.4300000000000033</v>
      </c>
      <c r="D34">
        <f t="shared" si="2"/>
        <v>5.4000000000000039</v>
      </c>
      <c r="J34">
        <v>28</v>
      </c>
      <c r="K34">
        <f t="shared" si="33"/>
        <v>1.7600945796607147E-6</v>
      </c>
      <c r="L34">
        <f t="shared" si="11"/>
        <v>5.4526549571031845E-18</v>
      </c>
      <c r="M34">
        <f t="shared" si="34"/>
        <v>9.2937987880530853E-12</v>
      </c>
      <c r="N34">
        <f t="shared" si="13"/>
        <v>50</v>
      </c>
      <c r="O34">
        <f t="shared" si="14"/>
        <v>8.8004728983035737E-7</v>
      </c>
      <c r="W34">
        <v>28</v>
      </c>
      <c r="X34">
        <f t="shared" si="26"/>
        <v>-7.4505805969238281E-9</v>
      </c>
      <c r="Y34">
        <f t="shared" si="27"/>
        <v>1.4901161193847656E-8</v>
      </c>
      <c r="Z34">
        <f t="shared" si="28"/>
        <v>3.7252902984619141E-9</v>
      </c>
      <c r="AA34">
        <f t="shared" si="29"/>
        <v>-4.1359030627651384E-25</v>
      </c>
      <c r="AB34">
        <f t="shared" si="30"/>
        <v>3.3087224502121107E-24</v>
      </c>
      <c r="AC34">
        <f t="shared" si="31"/>
        <v>5.169878828456423E-26</v>
      </c>
      <c r="AD34">
        <f t="shared" si="32"/>
        <v>300</v>
      </c>
      <c r="AE34">
        <f t="shared" si="23"/>
        <v>1.1175870895385742E-8</v>
      </c>
    </row>
    <row r="35" spans="1:31" x14ac:dyDescent="0.3">
      <c r="A35">
        <f t="shared" si="3"/>
        <v>1.0000000000000007</v>
      </c>
      <c r="B35">
        <f t="shared" si="0"/>
        <v>1.000000000000002</v>
      </c>
      <c r="C35">
        <f t="shared" si="1"/>
        <v>3.000000000000004</v>
      </c>
      <c r="D35">
        <f t="shared" si="2"/>
        <v>6.0000000000000036</v>
      </c>
      <c r="J35">
        <v>29</v>
      </c>
      <c r="K35">
        <f t="shared" si="33"/>
        <v>1.1733963864404765E-6</v>
      </c>
      <c r="L35">
        <f t="shared" si="11"/>
        <v>1.6156014687713138E-18</v>
      </c>
      <c r="M35">
        <f t="shared" si="34"/>
        <v>4.1305772391347039E-12</v>
      </c>
      <c r="N35">
        <f t="shared" si="13"/>
        <v>50</v>
      </c>
      <c r="O35">
        <f t="shared" si="14"/>
        <v>5.8669819322023824E-7</v>
      </c>
      <c r="W35">
        <v>29</v>
      </c>
      <c r="X35">
        <f t="shared" si="26"/>
        <v>-7.4505805969238281E-9</v>
      </c>
      <c r="Y35">
        <f t="shared" si="27"/>
        <v>3.7252902984619141E-9</v>
      </c>
      <c r="Z35">
        <f t="shared" si="28"/>
        <v>-1.862645149230957E-9</v>
      </c>
      <c r="AA35">
        <f t="shared" si="29"/>
        <v>-4.1359030627651384E-25</v>
      </c>
      <c r="AB35">
        <f t="shared" si="30"/>
        <v>5.169878828456423E-26</v>
      </c>
      <c r="AC35">
        <f t="shared" si="31"/>
        <v>-6.4623485355705287E-27</v>
      </c>
      <c r="AD35">
        <f t="shared" si="32"/>
        <v>300</v>
      </c>
      <c r="AE35">
        <f t="shared" si="23"/>
        <v>5.5879354476928711E-9</v>
      </c>
    </row>
    <row r="36" spans="1:31" x14ac:dyDescent="0.3">
      <c r="A36">
        <f t="shared" si="3"/>
        <v>1.1000000000000008</v>
      </c>
      <c r="B36">
        <f t="shared" si="0"/>
        <v>1.3310000000000028</v>
      </c>
      <c r="C36">
        <f t="shared" si="1"/>
        <v>3.6300000000000052</v>
      </c>
      <c r="D36">
        <f t="shared" si="2"/>
        <v>6.600000000000005</v>
      </c>
      <c r="J36">
        <v>30</v>
      </c>
      <c r="K36">
        <f t="shared" si="33"/>
        <v>7.8226425762698432E-7</v>
      </c>
      <c r="L36">
        <f t="shared" si="11"/>
        <v>4.7869673148779676E-19</v>
      </c>
      <c r="M36">
        <f t="shared" si="34"/>
        <v>1.8358121062820906E-12</v>
      </c>
      <c r="N36">
        <f t="shared" si="13"/>
        <v>50</v>
      </c>
      <c r="O36">
        <f t="shared" si="14"/>
        <v>3.9113212881349216E-7</v>
      </c>
      <c r="W36">
        <v>30</v>
      </c>
      <c r="X36">
        <f t="shared" si="26"/>
        <v>-1.862645149230957E-9</v>
      </c>
      <c r="Y36">
        <f t="shared" si="27"/>
        <v>3.7252902984619141E-9</v>
      </c>
      <c r="Z36">
        <f t="shared" si="28"/>
        <v>9.3132257461547852E-10</v>
      </c>
      <c r="AA36">
        <f t="shared" si="29"/>
        <v>-6.4623485355705287E-27</v>
      </c>
      <c r="AB36">
        <f t="shared" si="30"/>
        <v>5.169878828456423E-26</v>
      </c>
      <c r="AC36">
        <f t="shared" si="31"/>
        <v>8.0779356694631609E-28</v>
      </c>
      <c r="AD36">
        <f t="shared" si="32"/>
        <v>300</v>
      </c>
      <c r="AE36">
        <f t="shared" si="23"/>
        <v>2.7939677238464355E-9</v>
      </c>
    </row>
    <row r="37" spans="1:31" x14ac:dyDescent="0.3">
      <c r="A37">
        <f t="shared" si="3"/>
        <v>1.2000000000000008</v>
      </c>
      <c r="B37">
        <f t="shared" si="0"/>
        <v>1.7280000000000035</v>
      </c>
      <c r="C37">
        <f t="shared" si="1"/>
        <v>4.3200000000000056</v>
      </c>
      <c r="D37">
        <f t="shared" si="2"/>
        <v>7.2000000000000046</v>
      </c>
      <c r="J37">
        <v>31</v>
      </c>
      <c r="K37">
        <f t="shared" si="33"/>
        <v>5.2150950508465615E-7</v>
      </c>
      <c r="L37">
        <f t="shared" si="11"/>
        <v>1.4183606858897676E-19</v>
      </c>
      <c r="M37">
        <f t="shared" si="34"/>
        <v>8.1591649168092909E-13</v>
      </c>
      <c r="N37">
        <f t="shared" si="13"/>
        <v>50.000000000000021</v>
      </c>
      <c r="O37">
        <f t="shared" si="14"/>
        <v>2.6075475254232818E-7</v>
      </c>
      <c r="W37">
        <v>31</v>
      </c>
      <c r="X37">
        <f t="shared" si="26"/>
        <v>-1.862645149230957E-9</v>
      </c>
      <c r="Y37">
        <f t="shared" si="27"/>
        <v>9.3132257461547852E-10</v>
      </c>
      <c r="Z37">
        <f t="shared" si="28"/>
        <v>-4.6566128730773926E-10</v>
      </c>
      <c r="AA37">
        <f t="shared" si="29"/>
        <v>-6.4623485355705287E-27</v>
      </c>
      <c r="AB37">
        <f t="shared" si="30"/>
        <v>8.0779356694631609E-28</v>
      </c>
      <c r="AC37">
        <f t="shared" si="31"/>
        <v>-1.0097419586828951E-28</v>
      </c>
      <c r="AD37">
        <f t="shared" si="32"/>
        <v>300</v>
      </c>
      <c r="AE37">
        <f t="shared" si="23"/>
        <v>1.3969838619232178E-9</v>
      </c>
    </row>
    <row r="38" spans="1:31" x14ac:dyDescent="0.3">
      <c r="A38">
        <f t="shared" si="3"/>
        <v>1.3000000000000009</v>
      </c>
      <c r="B38">
        <f t="shared" si="0"/>
        <v>2.1970000000000045</v>
      </c>
      <c r="C38">
        <f t="shared" si="1"/>
        <v>5.0700000000000074</v>
      </c>
      <c r="D38">
        <f t="shared" si="2"/>
        <v>7.800000000000006</v>
      </c>
      <c r="J38">
        <v>32</v>
      </c>
      <c r="K38">
        <f t="shared" si="33"/>
        <v>3.4767300338977076E-7</v>
      </c>
      <c r="L38">
        <f t="shared" si="11"/>
        <v>4.2025501804141262E-20</v>
      </c>
      <c r="M38">
        <f t="shared" si="34"/>
        <v>3.6262955185819065E-13</v>
      </c>
      <c r="N38">
        <f t="shared" si="13"/>
        <v>50</v>
      </c>
      <c r="O38">
        <f t="shared" si="14"/>
        <v>1.7383650169488538E-7</v>
      </c>
      <c r="W38">
        <v>32</v>
      </c>
      <c r="X38">
        <f>IF(AA37*AC37&gt;0,Z37,X37)</f>
        <v>-4.6566128730773926E-10</v>
      </c>
      <c r="Y38">
        <f>IF(AB37*AC37&gt;0,Z37,Y37)</f>
        <v>9.3132257461547852E-10</v>
      </c>
      <c r="Z38">
        <f>AVERAGE(X38:Y38)</f>
        <v>2.3283064365386963E-10</v>
      </c>
      <c r="AA38">
        <f>X38^3</f>
        <v>-1.0097419586828951E-28</v>
      </c>
      <c r="AB38">
        <f>Y38^3</f>
        <v>8.0779356694631609E-28</v>
      </c>
      <c r="AC38">
        <f>Z38^3</f>
        <v>1.2621774483536189E-29</v>
      </c>
      <c r="AD38">
        <f>ABS((Z38-Z37)/Z38)*100</f>
        <v>300</v>
      </c>
      <c r="AE38">
        <f t="shared" si="23"/>
        <v>6.9849193096160889E-10</v>
      </c>
    </row>
    <row r="39" spans="1:31" x14ac:dyDescent="0.3">
      <c r="A39">
        <f t="shared" si="3"/>
        <v>1.400000000000001</v>
      </c>
      <c r="B39">
        <f t="shared" si="0"/>
        <v>2.744000000000006</v>
      </c>
      <c r="C39">
        <f t="shared" si="1"/>
        <v>5.8800000000000088</v>
      </c>
      <c r="D39">
        <f t="shared" si="2"/>
        <v>8.4000000000000057</v>
      </c>
      <c r="J39">
        <v>33</v>
      </c>
      <c r="K39">
        <f t="shared" si="33"/>
        <v>2.3178200225984717E-7</v>
      </c>
      <c r="L39">
        <f t="shared" si="11"/>
        <v>1.2452000534560372E-20</v>
      </c>
      <c r="M39">
        <f t="shared" si="34"/>
        <v>1.6116868971475139E-13</v>
      </c>
      <c r="N39">
        <f t="shared" si="13"/>
        <v>50.000000000000014</v>
      </c>
      <c r="O39">
        <f t="shared" si="14"/>
        <v>1.158910011299236E-7</v>
      </c>
      <c r="W39">
        <v>33</v>
      </c>
      <c r="X39">
        <f t="shared" ref="X39:X61" si="35">IF(AA38*AC38&gt;0,Z38,X38)</f>
        <v>-4.6566128730773926E-10</v>
      </c>
      <c r="Y39">
        <f t="shared" ref="Y39:Y61" si="36">IF(AB38*AC38&gt;0,Z38,Y38)</f>
        <v>2.3283064365386963E-10</v>
      </c>
      <c r="Z39">
        <f t="shared" ref="Z39:Z61" si="37">AVERAGE(X39:Y39)</f>
        <v>-1.1641532182693481E-10</v>
      </c>
      <c r="AA39">
        <f t="shared" ref="AA39:AA61" si="38">X39^3</f>
        <v>-1.0097419586828951E-28</v>
      </c>
      <c r="AB39">
        <f t="shared" ref="AB39:AB61" si="39">Y39^3</f>
        <v>1.2621774483536189E-29</v>
      </c>
      <c r="AC39">
        <f t="shared" ref="AC39:AC61" si="40">Z39^3</f>
        <v>-1.5777218104420236E-30</v>
      </c>
      <c r="AD39">
        <f t="shared" ref="AD39:AD61" si="41">ABS((Z39-Z38)/Z39)*100</f>
        <v>300</v>
      </c>
      <c r="AE39">
        <f t="shared" si="23"/>
        <v>3.4924596548080444E-10</v>
      </c>
    </row>
    <row r="40" spans="1:31" x14ac:dyDescent="0.3">
      <c r="A40">
        <f t="shared" si="3"/>
        <v>1.5000000000000011</v>
      </c>
      <c r="B40">
        <f t="shared" si="0"/>
        <v>3.375000000000008</v>
      </c>
      <c r="C40">
        <f t="shared" si="1"/>
        <v>6.7500000000000107</v>
      </c>
      <c r="D40">
        <f t="shared" si="2"/>
        <v>9.0000000000000071</v>
      </c>
      <c r="J40">
        <v>34</v>
      </c>
      <c r="K40">
        <f t="shared" si="33"/>
        <v>1.545213348398981E-7</v>
      </c>
      <c r="L40">
        <f t="shared" si="11"/>
        <v>3.689481639869739E-21</v>
      </c>
      <c r="M40">
        <f t="shared" si="34"/>
        <v>7.1630528762111717E-14</v>
      </c>
      <c r="N40">
        <f t="shared" si="13"/>
        <v>50.000000000000014</v>
      </c>
      <c r="O40">
        <f t="shared" si="14"/>
        <v>7.7260667419949065E-8</v>
      </c>
      <c r="W40">
        <v>34</v>
      </c>
      <c r="X40">
        <f t="shared" si="35"/>
        <v>-1.1641532182693481E-10</v>
      </c>
      <c r="Y40">
        <f t="shared" si="36"/>
        <v>2.3283064365386963E-10</v>
      </c>
      <c r="Z40">
        <f t="shared" si="37"/>
        <v>5.8207660913467407E-11</v>
      </c>
      <c r="AA40">
        <f t="shared" si="38"/>
        <v>-1.5777218104420236E-30</v>
      </c>
      <c r="AB40">
        <f t="shared" si="39"/>
        <v>1.2621774483536189E-29</v>
      </c>
      <c r="AC40">
        <f t="shared" si="40"/>
        <v>1.9721522630525295E-31</v>
      </c>
      <c r="AD40">
        <f t="shared" si="41"/>
        <v>300</v>
      </c>
      <c r="AE40">
        <f t="shared" si="23"/>
        <v>1.7462298274040222E-10</v>
      </c>
    </row>
    <row r="41" spans="1:31" x14ac:dyDescent="0.3">
      <c r="A41">
        <f t="shared" si="3"/>
        <v>1.6000000000000012</v>
      </c>
      <c r="B41">
        <f t="shared" si="0"/>
        <v>4.0960000000000099</v>
      </c>
      <c r="C41">
        <f t="shared" si="1"/>
        <v>7.6800000000000122</v>
      </c>
      <c r="D41">
        <f t="shared" si="2"/>
        <v>9.6000000000000068</v>
      </c>
      <c r="J41">
        <v>35</v>
      </c>
      <c r="K41">
        <f t="shared" si="33"/>
        <v>1.0301422322659873E-7</v>
      </c>
      <c r="L41">
        <f t="shared" si="11"/>
        <v>1.0931797451465891E-21</v>
      </c>
      <c r="M41">
        <f t="shared" si="34"/>
        <v>3.1835790560938537E-14</v>
      </c>
      <c r="N41">
        <f t="shared" si="13"/>
        <v>50.000000000000014</v>
      </c>
      <c r="O41">
        <f t="shared" si="14"/>
        <v>5.1507111613299372E-8</v>
      </c>
      <c r="W41">
        <v>35</v>
      </c>
      <c r="X41">
        <f t="shared" si="35"/>
        <v>-1.1641532182693481E-10</v>
      </c>
      <c r="Y41">
        <f t="shared" si="36"/>
        <v>5.8207660913467407E-11</v>
      </c>
      <c r="Z41">
        <f t="shared" si="37"/>
        <v>-2.9103830456733704E-11</v>
      </c>
      <c r="AA41">
        <f t="shared" si="38"/>
        <v>-1.5777218104420236E-30</v>
      </c>
      <c r="AB41">
        <f t="shared" si="39"/>
        <v>1.9721522630525295E-31</v>
      </c>
      <c r="AC41">
        <f t="shared" si="40"/>
        <v>-2.4651903288156619E-32</v>
      </c>
      <c r="AD41">
        <f t="shared" si="41"/>
        <v>300</v>
      </c>
      <c r="AE41">
        <f t="shared" si="23"/>
        <v>8.7311491370201111E-11</v>
      </c>
    </row>
    <row r="42" spans="1:31" x14ac:dyDescent="0.3">
      <c r="A42">
        <f t="shared" si="3"/>
        <v>1.7000000000000013</v>
      </c>
      <c r="B42">
        <f t="shared" si="0"/>
        <v>4.9130000000000118</v>
      </c>
      <c r="C42">
        <f t="shared" si="1"/>
        <v>8.6700000000000141</v>
      </c>
      <c r="D42">
        <f t="shared" si="2"/>
        <v>10.200000000000008</v>
      </c>
      <c r="J42">
        <v>36</v>
      </c>
      <c r="K42">
        <f t="shared" si="33"/>
        <v>6.8676148817732496E-8</v>
      </c>
      <c r="L42">
        <f t="shared" si="11"/>
        <v>3.2390510967306355E-22</v>
      </c>
      <c r="M42">
        <f t="shared" si="34"/>
        <v>1.4149240249306021E-14</v>
      </c>
      <c r="N42">
        <f t="shared" si="13"/>
        <v>49.999999999999986</v>
      </c>
      <c r="O42">
        <f t="shared" si="14"/>
        <v>3.4338074408866235E-8</v>
      </c>
      <c r="W42">
        <v>36</v>
      </c>
      <c r="X42">
        <f t="shared" si="35"/>
        <v>-2.9103830456733704E-11</v>
      </c>
      <c r="Y42">
        <f t="shared" si="36"/>
        <v>5.8207660913467407E-11</v>
      </c>
      <c r="Z42">
        <f t="shared" si="37"/>
        <v>1.4551915228366852E-11</v>
      </c>
      <c r="AA42">
        <f t="shared" si="38"/>
        <v>-2.4651903288156619E-32</v>
      </c>
      <c r="AB42">
        <f t="shared" si="39"/>
        <v>1.9721522630525295E-31</v>
      </c>
      <c r="AC42">
        <f t="shared" si="40"/>
        <v>3.0814879110195774E-33</v>
      </c>
      <c r="AD42">
        <f t="shared" si="41"/>
        <v>300</v>
      </c>
      <c r="AE42">
        <f t="shared" si="23"/>
        <v>4.3655745685100555E-11</v>
      </c>
    </row>
    <row r="43" spans="1:31" x14ac:dyDescent="0.3">
      <c r="A43">
        <f t="shared" si="3"/>
        <v>1.8000000000000014</v>
      </c>
      <c r="B43">
        <f t="shared" si="0"/>
        <v>5.8320000000000141</v>
      </c>
      <c r="C43">
        <f t="shared" si="1"/>
        <v>9.7200000000000149</v>
      </c>
      <c r="D43">
        <f t="shared" si="2"/>
        <v>10.800000000000008</v>
      </c>
      <c r="J43">
        <v>37</v>
      </c>
      <c r="K43">
        <f t="shared" si="33"/>
        <v>4.5784099211821668E-8</v>
      </c>
      <c r="L43">
        <f t="shared" si="11"/>
        <v>9.5971884347574427E-23</v>
      </c>
      <c r="M43">
        <f t="shared" si="34"/>
        <v>6.288551221913789E-15</v>
      </c>
      <c r="N43">
        <f t="shared" si="13"/>
        <v>49.999999999999986</v>
      </c>
      <c r="O43">
        <f t="shared" si="14"/>
        <v>2.2892049605910828E-8</v>
      </c>
      <c r="W43">
        <v>37</v>
      </c>
      <c r="X43">
        <f t="shared" si="35"/>
        <v>-2.9103830456733704E-11</v>
      </c>
      <c r="Y43">
        <f t="shared" si="36"/>
        <v>1.4551915228366852E-11</v>
      </c>
      <c r="Z43">
        <f t="shared" si="37"/>
        <v>-7.2759576141834259E-12</v>
      </c>
      <c r="AA43">
        <f t="shared" si="38"/>
        <v>-2.4651903288156619E-32</v>
      </c>
      <c r="AB43">
        <f t="shared" si="39"/>
        <v>3.0814879110195774E-33</v>
      </c>
      <c r="AC43">
        <f t="shared" si="40"/>
        <v>-3.8518598887744717E-34</v>
      </c>
      <c r="AD43">
        <f t="shared" si="41"/>
        <v>300</v>
      </c>
      <c r="AE43">
        <f t="shared" si="23"/>
        <v>2.1827872842550278E-11</v>
      </c>
    </row>
    <row r="44" spans="1:31" x14ac:dyDescent="0.3">
      <c r="A44">
        <f t="shared" si="3"/>
        <v>1.9000000000000015</v>
      </c>
      <c r="B44">
        <f t="shared" si="0"/>
        <v>6.859000000000016</v>
      </c>
      <c r="C44">
        <f t="shared" si="1"/>
        <v>10.830000000000016</v>
      </c>
      <c r="D44">
        <f t="shared" si="2"/>
        <v>11.400000000000009</v>
      </c>
      <c r="J44">
        <v>38</v>
      </c>
      <c r="K44">
        <f t="shared" si="33"/>
        <v>3.0522732807881114E-8</v>
      </c>
      <c r="L44">
        <f t="shared" si="11"/>
        <v>2.8436113880762799E-23</v>
      </c>
      <c r="M44">
        <f t="shared" si="34"/>
        <v>2.7949116541839064E-15</v>
      </c>
      <c r="N44">
        <f t="shared" si="13"/>
        <v>49.999999999999986</v>
      </c>
      <c r="O44">
        <f t="shared" si="14"/>
        <v>1.5261366403940554E-8</v>
      </c>
      <c r="W44">
        <v>38</v>
      </c>
      <c r="X44">
        <f t="shared" si="35"/>
        <v>-7.2759576141834259E-12</v>
      </c>
      <c r="Y44">
        <f t="shared" si="36"/>
        <v>1.4551915228366852E-11</v>
      </c>
      <c r="Z44">
        <f t="shared" si="37"/>
        <v>3.637978807091713E-12</v>
      </c>
      <c r="AA44">
        <f t="shared" si="38"/>
        <v>-3.8518598887744717E-34</v>
      </c>
      <c r="AB44">
        <f t="shared" si="39"/>
        <v>3.0814879110195774E-33</v>
      </c>
      <c r="AC44">
        <f t="shared" si="40"/>
        <v>4.8148248609680896E-35</v>
      </c>
      <c r="AD44">
        <f t="shared" si="41"/>
        <v>300</v>
      </c>
      <c r="AE44">
        <f t="shared" si="23"/>
        <v>1.0913936421275139E-11</v>
      </c>
    </row>
    <row r="45" spans="1:31" x14ac:dyDescent="0.3">
      <c r="A45">
        <f t="shared" si="3"/>
        <v>2.0000000000000013</v>
      </c>
      <c r="B45">
        <f t="shared" si="0"/>
        <v>8.000000000000016</v>
      </c>
      <c r="C45">
        <f t="shared" si="1"/>
        <v>12.000000000000016</v>
      </c>
      <c r="D45">
        <f t="shared" si="2"/>
        <v>12.000000000000007</v>
      </c>
      <c r="J45">
        <v>39</v>
      </c>
      <c r="K45">
        <f t="shared" si="33"/>
        <v>2.034848853858741E-8</v>
      </c>
      <c r="L45">
        <f t="shared" si="11"/>
        <v>8.4255152239297186E-24</v>
      </c>
      <c r="M45">
        <f t="shared" si="34"/>
        <v>1.2421829574150695E-15</v>
      </c>
      <c r="N45">
        <f t="shared" si="13"/>
        <v>50</v>
      </c>
      <c r="O45">
        <f t="shared" si="14"/>
        <v>1.0174244269293705E-8</v>
      </c>
      <c r="W45">
        <v>39</v>
      </c>
      <c r="X45">
        <f t="shared" si="35"/>
        <v>-7.2759576141834259E-12</v>
      </c>
      <c r="Y45">
        <f t="shared" si="36"/>
        <v>3.637978807091713E-12</v>
      </c>
      <c r="Z45">
        <f t="shared" si="37"/>
        <v>-1.8189894035458565E-12</v>
      </c>
      <c r="AA45">
        <f t="shared" si="38"/>
        <v>-3.8518598887744717E-34</v>
      </c>
      <c r="AB45">
        <f t="shared" si="39"/>
        <v>4.8148248609680896E-35</v>
      </c>
      <c r="AC45">
        <f t="shared" si="40"/>
        <v>-6.018531076210112E-36</v>
      </c>
      <c r="AD45">
        <f t="shared" si="41"/>
        <v>300</v>
      </c>
      <c r="AE45">
        <f t="shared" si="23"/>
        <v>5.4569682106375694E-12</v>
      </c>
    </row>
    <row r="46" spans="1:31" x14ac:dyDescent="0.3">
      <c r="J46">
        <v>40</v>
      </c>
      <c r="K46">
        <f t="shared" si="33"/>
        <v>1.3565659025724939E-8</v>
      </c>
      <c r="L46">
        <f t="shared" si="11"/>
        <v>2.4964489552384346E-24</v>
      </c>
      <c r="M46">
        <f t="shared" si="34"/>
        <v>5.5208131440669756E-16</v>
      </c>
      <c r="N46">
        <f t="shared" si="13"/>
        <v>50.000000000000014</v>
      </c>
      <c r="O46">
        <f t="shared" si="14"/>
        <v>6.7828295128624704E-9</v>
      </c>
      <c r="W46">
        <v>40</v>
      </c>
      <c r="X46">
        <f t="shared" si="35"/>
        <v>-1.8189894035458565E-12</v>
      </c>
      <c r="Y46">
        <f t="shared" si="36"/>
        <v>3.637978807091713E-12</v>
      </c>
      <c r="Z46">
        <f t="shared" si="37"/>
        <v>9.0949470177292824E-13</v>
      </c>
      <c r="AA46">
        <f t="shared" si="38"/>
        <v>-6.018531076210112E-36</v>
      </c>
      <c r="AB46">
        <f t="shared" si="39"/>
        <v>4.8148248609680896E-35</v>
      </c>
      <c r="AC46">
        <f t="shared" si="40"/>
        <v>7.5231638452626401E-37</v>
      </c>
      <c r="AD46">
        <f t="shared" si="41"/>
        <v>300</v>
      </c>
      <c r="AE46">
        <f t="shared" si="23"/>
        <v>2.7284841053187847E-12</v>
      </c>
    </row>
    <row r="47" spans="1:31" x14ac:dyDescent="0.3">
      <c r="J47">
        <v>41</v>
      </c>
      <c r="K47">
        <f t="shared" si="33"/>
        <v>9.0437726838166267E-9</v>
      </c>
      <c r="L47">
        <f t="shared" si="11"/>
        <v>7.3968857932990676E-25</v>
      </c>
      <c r="M47">
        <f t="shared" si="34"/>
        <v>2.4536947306964339E-16</v>
      </c>
      <c r="N47">
        <f t="shared" si="13"/>
        <v>49.999999999999986</v>
      </c>
      <c r="O47">
        <f t="shared" si="14"/>
        <v>4.5218863419083125E-9</v>
      </c>
      <c r="W47">
        <v>41</v>
      </c>
      <c r="X47">
        <f t="shared" si="35"/>
        <v>-1.8189894035458565E-12</v>
      </c>
      <c r="Y47">
        <f t="shared" si="36"/>
        <v>9.0949470177292824E-13</v>
      </c>
      <c r="Z47">
        <f t="shared" si="37"/>
        <v>-4.5474735088646412E-13</v>
      </c>
      <c r="AA47">
        <f t="shared" si="38"/>
        <v>-6.018531076210112E-36</v>
      </c>
      <c r="AB47">
        <f t="shared" si="39"/>
        <v>7.5231638452626401E-37</v>
      </c>
      <c r="AC47">
        <f t="shared" si="40"/>
        <v>-9.4039548065783001E-38</v>
      </c>
      <c r="AD47">
        <f t="shared" si="41"/>
        <v>300</v>
      </c>
      <c r="AE47">
        <f t="shared" si="23"/>
        <v>1.3642420526593924E-12</v>
      </c>
    </row>
    <row r="48" spans="1:31" x14ac:dyDescent="0.3">
      <c r="J48">
        <v>42</v>
      </c>
      <c r="K48">
        <f t="shared" si="33"/>
        <v>6.0291817892110839E-9</v>
      </c>
      <c r="L48">
        <f t="shared" si="11"/>
        <v>2.1916698646812043E-25</v>
      </c>
      <c r="M48">
        <f t="shared" si="34"/>
        <v>1.090530991420637E-16</v>
      </c>
      <c r="N48">
        <f t="shared" si="13"/>
        <v>50.000000000000014</v>
      </c>
      <c r="O48">
        <f t="shared" si="14"/>
        <v>3.0145908946055428E-9</v>
      </c>
      <c r="W48">
        <v>42</v>
      </c>
      <c r="X48">
        <f t="shared" si="35"/>
        <v>-4.5474735088646412E-13</v>
      </c>
      <c r="Y48">
        <f t="shared" si="36"/>
        <v>9.0949470177292824E-13</v>
      </c>
      <c r="Z48">
        <f t="shared" si="37"/>
        <v>2.2737367544323206E-13</v>
      </c>
      <c r="AA48">
        <f t="shared" si="38"/>
        <v>-9.4039548065783001E-38</v>
      </c>
      <c r="AB48">
        <f t="shared" si="39"/>
        <v>7.5231638452626401E-37</v>
      </c>
      <c r="AC48">
        <f t="shared" si="40"/>
        <v>1.1754943508222875E-38</v>
      </c>
      <c r="AD48">
        <f t="shared" si="41"/>
        <v>300</v>
      </c>
      <c r="AE48">
        <f t="shared" si="23"/>
        <v>6.8212102632969618E-13</v>
      </c>
    </row>
    <row r="49" spans="10:31" x14ac:dyDescent="0.3">
      <c r="J49">
        <v>43</v>
      </c>
      <c r="K49">
        <f t="shared" si="33"/>
        <v>4.0194545261407226E-9</v>
      </c>
      <c r="L49">
        <f t="shared" si="11"/>
        <v>6.4938366360924578E-26</v>
      </c>
      <c r="M49">
        <f t="shared" si="34"/>
        <v>4.8468044063139417E-17</v>
      </c>
      <c r="N49">
        <f t="shared" si="13"/>
        <v>50</v>
      </c>
      <c r="O49">
        <f t="shared" si="14"/>
        <v>2.0097272630703613E-9</v>
      </c>
      <c r="W49">
        <v>43</v>
      </c>
      <c r="X49">
        <f t="shared" si="35"/>
        <v>-4.5474735088646412E-13</v>
      </c>
      <c r="Y49">
        <f t="shared" si="36"/>
        <v>2.2737367544323206E-13</v>
      </c>
      <c r="Z49">
        <f t="shared" si="37"/>
        <v>-1.1368683772161603E-13</v>
      </c>
      <c r="AA49">
        <f t="shared" si="38"/>
        <v>-9.4039548065783001E-38</v>
      </c>
      <c r="AB49">
        <f t="shared" si="39"/>
        <v>1.1754943508222875E-38</v>
      </c>
      <c r="AC49">
        <f t="shared" si="40"/>
        <v>-1.4693679385278594E-39</v>
      </c>
      <c r="AD49">
        <f t="shared" si="41"/>
        <v>300</v>
      </c>
      <c r="AE49">
        <f t="shared" si="23"/>
        <v>3.4106051316484809E-13</v>
      </c>
    </row>
    <row r="50" spans="10:31" x14ac:dyDescent="0.3">
      <c r="J50">
        <v>44</v>
      </c>
      <c r="K50">
        <f t="shared" si="33"/>
        <v>2.6796363507604815E-9</v>
      </c>
      <c r="L50">
        <f t="shared" si="11"/>
        <v>1.9240997440273943E-26</v>
      </c>
      <c r="M50">
        <f t="shared" si="34"/>
        <v>2.1541352916950852E-17</v>
      </c>
      <c r="N50">
        <f t="shared" si="13"/>
        <v>50.000000000000014</v>
      </c>
      <c r="O50">
        <f t="shared" si="14"/>
        <v>1.3398181753802411E-9</v>
      </c>
      <c r="W50">
        <v>44</v>
      </c>
      <c r="X50">
        <f t="shared" si="35"/>
        <v>-1.1368683772161603E-13</v>
      </c>
      <c r="Y50">
        <f t="shared" si="36"/>
        <v>2.2737367544323206E-13</v>
      </c>
      <c r="Z50">
        <f t="shared" si="37"/>
        <v>5.6843418860808015E-14</v>
      </c>
      <c r="AA50">
        <f t="shared" si="38"/>
        <v>-1.4693679385278594E-39</v>
      </c>
      <c r="AB50">
        <f t="shared" si="39"/>
        <v>1.1754943508222875E-38</v>
      </c>
      <c r="AC50">
        <f t="shared" si="40"/>
        <v>1.8367099231598242E-40</v>
      </c>
      <c r="AD50">
        <f t="shared" si="41"/>
        <v>300</v>
      </c>
      <c r="AE50">
        <f t="shared" si="23"/>
        <v>1.7053025658242404E-13</v>
      </c>
    </row>
    <row r="51" spans="10:31" x14ac:dyDescent="0.3">
      <c r="J51">
        <v>45</v>
      </c>
      <c r="K51">
        <f t="shared" si="33"/>
        <v>1.786424233840321E-9</v>
      </c>
      <c r="L51">
        <f t="shared" si="11"/>
        <v>5.7010362785996864E-27</v>
      </c>
      <c r="M51">
        <f t="shared" si="34"/>
        <v>9.5739346297559328E-18</v>
      </c>
      <c r="N51">
        <f t="shared" si="13"/>
        <v>50</v>
      </c>
      <c r="O51">
        <f t="shared" si="14"/>
        <v>8.9321211692016049E-10</v>
      </c>
      <c r="W51">
        <v>45</v>
      </c>
      <c r="X51">
        <f t="shared" si="35"/>
        <v>-1.1368683772161603E-13</v>
      </c>
      <c r="Y51">
        <f t="shared" si="36"/>
        <v>5.6843418860808015E-14</v>
      </c>
      <c r="Z51">
        <f t="shared" si="37"/>
        <v>-2.8421709430404007E-14</v>
      </c>
      <c r="AA51">
        <f t="shared" si="38"/>
        <v>-1.4693679385278594E-39</v>
      </c>
      <c r="AB51">
        <f t="shared" si="39"/>
        <v>1.8367099231598242E-40</v>
      </c>
      <c r="AC51">
        <f t="shared" si="40"/>
        <v>-2.2958874039497803E-41</v>
      </c>
      <c r="AD51">
        <f t="shared" si="41"/>
        <v>300</v>
      </c>
      <c r="AE51">
        <f t="shared" si="23"/>
        <v>8.5265128291212022E-14</v>
      </c>
    </row>
    <row r="52" spans="10:31" x14ac:dyDescent="0.3">
      <c r="J52">
        <v>46</v>
      </c>
      <c r="K52">
        <f t="shared" si="33"/>
        <v>1.1909494892268805E-9</v>
      </c>
      <c r="L52">
        <f t="shared" si="11"/>
        <v>1.6891959343999067E-27</v>
      </c>
      <c r="M52">
        <f t="shared" si="34"/>
        <v>4.255082057669303E-18</v>
      </c>
      <c r="N52">
        <f t="shared" si="13"/>
        <v>50.000000000000021</v>
      </c>
      <c r="O52">
        <f t="shared" si="14"/>
        <v>5.9547474461344046E-10</v>
      </c>
      <c r="W52">
        <v>46</v>
      </c>
      <c r="X52">
        <f t="shared" si="35"/>
        <v>-2.8421709430404007E-14</v>
      </c>
      <c r="Y52">
        <f t="shared" si="36"/>
        <v>5.6843418860808015E-14</v>
      </c>
      <c r="Z52">
        <f t="shared" si="37"/>
        <v>1.4210854715202004E-14</v>
      </c>
      <c r="AA52">
        <f t="shared" si="38"/>
        <v>-2.2958874039497803E-41</v>
      </c>
      <c r="AB52">
        <f t="shared" si="39"/>
        <v>1.8367099231598242E-40</v>
      </c>
      <c r="AC52">
        <f t="shared" si="40"/>
        <v>2.8698592549372254E-42</v>
      </c>
      <c r="AD52">
        <f t="shared" si="41"/>
        <v>300</v>
      </c>
      <c r="AE52">
        <f t="shared" si="23"/>
        <v>4.2632564145606011E-14</v>
      </c>
    </row>
    <row r="53" spans="10:31" x14ac:dyDescent="0.3">
      <c r="J53">
        <v>47</v>
      </c>
      <c r="K53">
        <f t="shared" si="33"/>
        <v>7.939663261512536E-10</v>
      </c>
      <c r="L53">
        <f t="shared" si="11"/>
        <v>5.0050249908145369E-28</v>
      </c>
      <c r="M53">
        <f t="shared" si="34"/>
        <v>1.8911475811863564E-18</v>
      </c>
      <c r="N53">
        <f t="shared" si="13"/>
        <v>50.000000000000014</v>
      </c>
      <c r="O53">
        <f t="shared" si="14"/>
        <v>3.9698316307562691E-10</v>
      </c>
      <c r="W53">
        <v>47</v>
      </c>
      <c r="X53">
        <f t="shared" si="35"/>
        <v>-2.8421709430404007E-14</v>
      </c>
      <c r="Y53">
        <f t="shared" si="36"/>
        <v>1.4210854715202004E-14</v>
      </c>
      <c r="Z53">
        <f t="shared" si="37"/>
        <v>-7.1054273576010019E-15</v>
      </c>
      <c r="AA53">
        <f t="shared" si="38"/>
        <v>-2.2958874039497803E-41</v>
      </c>
      <c r="AB53">
        <f t="shared" si="39"/>
        <v>2.8698592549372254E-42</v>
      </c>
      <c r="AC53">
        <f t="shared" si="40"/>
        <v>-3.5873240686715317E-43</v>
      </c>
      <c r="AD53">
        <f t="shared" si="41"/>
        <v>300</v>
      </c>
      <c r="AE53">
        <f t="shared" si="23"/>
        <v>2.1316282072803006E-14</v>
      </c>
    </row>
    <row r="54" spans="10:31" x14ac:dyDescent="0.3">
      <c r="J54">
        <v>48</v>
      </c>
      <c r="K54">
        <f t="shared" si="33"/>
        <v>5.2931088410083567E-10</v>
      </c>
      <c r="L54">
        <f t="shared" si="11"/>
        <v>1.4829703676487511E-28</v>
      </c>
      <c r="M54">
        <f t="shared" si="34"/>
        <v>8.4051003608282493E-19</v>
      </c>
      <c r="N54">
        <f t="shared" si="13"/>
        <v>50.000000000000021</v>
      </c>
      <c r="O54">
        <f t="shared" si="14"/>
        <v>2.6465544205041794E-10</v>
      </c>
      <c r="W54">
        <v>48</v>
      </c>
      <c r="X54">
        <f t="shared" si="35"/>
        <v>-7.1054273576010019E-15</v>
      </c>
      <c r="Y54">
        <f t="shared" si="36"/>
        <v>1.4210854715202004E-14</v>
      </c>
      <c r="Z54">
        <f t="shared" si="37"/>
        <v>3.5527136788005009E-15</v>
      </c>
      <c r="AA54">
        <f t="shared" si="38"/>
        <v>-3.5873240686715317E-43</v>
      </c>
      <c r="AB54">
        <f t="shared" si="39"/>
        <v>2.8698592549372254E-42</v>
      </c>
      <c r="AC54">
        <f t="shared" si="40"/>
        <v>4.4841550858394146E-44</v>
      </c>
      <c r="AD54">
        <f t="shared" si="41"/>
        <v>300</v>
      </c>
      <c r="AE54">
        <f t="shared" si="23"/>
        <v>1.0658141036401503E-14</v>
      </c>
    </row>
    <row r="55" spans="10:31" x14ac:dyDescent="0.3">
      <c r="J55">
        <v>49</v>
      </c>
      <c r="K55">
        <f t="shared" si="33"/>
        <v>3.5287392273389048E-10</v>
      </c>
      <c r="L55">
        <f t="shared" si="11"/>
        <v>4.3939862745148197E-29</v>
      </c>
      <c r="M55">
        <f t="shared" si="34"/>
        <v>3.7356001603681118E-19</v>
      </c>
      <c r="N55">
        <f t="shared" si="13"/>
        <v>49.999999999999986</v>
      </c>
      <c r="O55">
        <f t="shared" si="14"/>
        <v>1.7643696136694519E-10</v>
      </c>
      <c r="W55">
        <v>49</v>
      </c>
      <c r="X55">
        <f t="shared" si="35"/>
        <v>-7.1054273576010019E-15</v>
      </c>
      <c r="Y55">
        <f t="shared" si="36"/>
        <v>3.5527136788005009E-15</v>
      </c>
      <c r="Z55">
        <f t="shared" si="37"/>
        <v>-1.7763568394002505E-15</v>
      </c>
      <c r="AA55">
        <f t="shared" si="38"/>
        <v>-3.5873240686715317E-43</v>
      </c>
      <c r="AB55">
        <f t="shared" si="39"/>
        <v>4.4841550858394146E-44</v>
      </c>
      <c r="AC55">
        <f t="shared" si="40"/>
        <v>-5.6051938572992683E-45</v>
      </c>
      <c r="AD55">
        <f t="shared" si="41"/>
        <v>300</v>
      </c>
      <c r="AE55">
        <f t="shared" si="23"/>
        <v>5.3290705182007514E-15</v>
      </c>
    </row>
    <row r="56" spans="10:31" x14ac:dyDescent="0.3">
      <c r="J56">
        <v>50</v>
      </c>
      <c r="K56">
        <f t="shared" si="33"/>
        <v>2.3524928182259367E-10</v>
      </c>
      <c r="L56">
        <f t="shared" si="11"/>
        <v>1.3019218591155023E-29</v>
      </c>
      <c r="M56">
        <f t="shared" si="34"/>
        <v>1.660266737941383E-19</v>
      </c>
      <c r="N56">
        <f t="shared" si="13"/>
        <v>49.999999999999986</v>
      </c>
      <c r="O56">
        <f t="shared" si="14"/>
        <v>1.1762464091129681E-10</v>
      </c>
      <c r="W56">
        <v>50</v>
      </c>
      <c r="X56">
        <f t="shared" si="35"/>
        <v>-1.7763568394002505E-15</v>
      </c>
      <c r="Y56">
        <f t="shared" si="36"/>
        <v>3.5527136788005009E-15</v>
      </c>
      <c r="Z56">
        <f t="shared" si="37"/>
        <v>8.8817841970012523E-16</v>
      </c>
      <c r="AA56">
        <f t="shared" si="38"/>
        <v>-5.6051938572992683E-45</v>
      </c>
      <c r="AB56">
        <f t="shared" si="39"/>
        <v>4.4841550858394146E-44</v>
      </c>
      <c r="AC56">
        <f t="shared" si="40"/>
        <v>7.0064923216240854E-46</v>
      </c>
      <c r="AD56">
        <f t="shared" si="41"/>
        <v>300</v>
      </c>
      <c r="AE56">
        <f t="shared" si="23"/>
        <v>2.6645352591003757E-15</v>
      </c>
    </row>
    <row r="57" spans="10:31" x14ac:dyDescent="0.3">
      <c r="J57">
        <v>51</v>
      </c>
      <c r="K57">
        <f t="shared" si="33"/>
        <v>1.568328545483958E-10</v>
      </c>
      <c r="L57">
        <f t="shared" si="11"/>
        <v>3.8575462492311195E-30</v>
      </c>
      <c r="M57">
        <f t="shared" si="34"/>
        <v>7.3789632797394823E-20</v>
      </c>
      <c r="N57">
        <f t="shared" si="13"/>
        <v>49.999999999999986</v>
      </c>
      <c r="O57">
        <f t="shared" si="14"/>
        <v>7.8416427274197873E-11</v>
      </c>
      <c r="W57">
        <v>51</v>
      </c>
      <c r="X57">
        <f t="shared" si="35"/>
        <v>-1.7763568394002505E-15</v>
      </c>
      <c r="Y57">
        <f t="shared" si="36"/>
        <v>8.8817841970012523E-16</v>
      </c>
      <c r="Z57">
        <f t="shared" si="37"/>
        <v>-4.4408920985006262E-16</v>
      </c>
      <c r="AA57">
        <f t="shared" si="38"/>
        <v>-5.6051938572992683E-45</v>
      </c>
      <c r="AB57">
        <f t="shared" si="39"/>
        <v>7.0064923216240854E-46</v>
      </c>
      <c r="AC57">
        <f t="shared" si="40"/>
        <v>-8.7581154020301067E-47</v>
      </c>
      <c r="AD57">
        <f t="shared" si="41"/>
        <v>300</v>
      </c>
      <c r="AE57">
        <f t="shared" si="23"/>
        <v>1.3322676295501878E-15</v>
      </c>
    </row>
    <row r="58" spans="10:31" x14ac:dyDescent="0.3">
      <c r="J58">
        <v>52</v>
      </c>
      <c r="K58">
        <f t="shared" si="33"/>
        <v>1.045552363655972E-10</v>
      </c>
      <c r="L58">
        <f t="shared" si="11"/>
        <v>1.1429766664388502E-30</v>
      </c>
      <c r="M58">
        <f t="shared" si="34"/>
        <v>3.2795392354397694E-20</v>
      </c>
      <c r="N58">
        <f t="shared" si="13"/>
        <v>50</v>
      </c>
      <c r="O58">
        <f t="shared" si="14"/>
        <v>5.2277618182798599E-11</v>
      </c>
      <c r="W58">
        <v>52</v>
      </c>
      <c r="X58">
        <f t="shared" si="35"/>
        <v>-4.4408920985006262E-16</v>
      </c>
      <c r="Y58">
        <f t="shared" si="36"/>
        <v>8.8817841970012523E-16</v>
      </c>
      <c r="Z58">
        <f t="shared" si="37"/>
        <v>2.2204460492503131E-16</v>
      </c>
      <c r="AA58">
        <f t="shared" si="38"/>
        <v>-8.7581154020301067E-47</v>
      </c>
      <c r="AB58">
        <f t="shared" si="39"/>
        <v>7.0064923216240854E-46</v>
      </c>
      <c r="AC58">
        <f t="shared" si="40"/>
        <v>1.0947644252537633E-47</v>
      </c>
      <c r="AD58">
        <f t="shared" si="41"/>
        <v>300</v>
      </c>
      <c r="AE58">
        <f t="shared" si="23"/>
        <v>6.6613381477509392E-16</v>
      </c>
    </row>
    <row r="59" spans="10:31" x14ac:dyDescent="0.3">
      <c r="J59">
        <v>53</v>
      </c>
      <c r="K59">
        <f t="shared" si="33"/>
        <v>6.9703490910398124E-11</v>
      </c>
      <c r="L59">
        <f t="shared" si="11"/>
        <v>3.3865975301891843E-31</v>
      </c>
      <c r="M59">
        <f t="shared" si="34"/>
        <v>1.457572993528786E-20</v>
      </c>
      <c r="N59">
        <f t="shared" si="13"/>
        <v>50.000000000000021</v>
      </c>
      <c r="O59">
        <f t="shared" si="14"/>
        <v>3.4851745455199075E-11</v>
      </c>
      <c r="W59">
        <v>53</v>
      </c>
      <c r="X59">
        <f t="shared" si="35"/>
        <v>-4.4408920985006262E-16</v>
      </c>
      <c r="Y59">
        <f t="shared" si="36"/>
        <v>2.2204460492503131E-16</v>
      </c>
      <c r="Z59">
        <f t="shared" si="37"/>
        <v>-1.1102230246251565E-16</v>
      </c>
      <c r="AA59">
        <f t="shared" si="38"/>
        <v>-8.7581154020301067E-47</v>
      </c>
      <c r="AB59">
        <f t="shared" si="39"/>
        <v>1.0947644252537633E-47</v>
      </c>
      <c r="AC59">
        <f t="shared" si="40"/>
        <v>-1.3684555315672042E-48</v>
      </c>
      <c r="AD59">
        <f t="shared" si="41"/>
        <v>300</v>
      </c>
      <c r="AE59">
        <f t="shared" si="23"/>
        <v>3.3306690738754696E-16</v>
      </c>
    </row>
    <row r="60" spans="10:31" x14ac:dyDescent="0.3">
      <c r="J60">
        <v>54</v>
      </c>
      <c r="K60">
        <f t="shared" si="33"/>
        <v>4.6468993940265414E-11</v>
      </c>
      <c r="L60">
        <f t="shared" si="11"/>
        <v>1.0034363052412396E-31</v>
      </c>
      <c r="M60">
        <f t="shared" si="34"/>
        <v>6.4781021934612713E-21</v>
      </c>
      <c r="N60">
        <f t="shared" si="13"/>
        <v>50.000000000000014</v>
      </c>
      <c r="O60">
        <f t="shared" si="14"/>
        <v>2.323449697013271E-11</v>
      </c>
      <c r="W60">
        <v>54</v>
      </c>
      <c r="X60">
        <f t="shared" si="35"/>
        <v>-1.1102230246251565E-16</v>
      </c>
      <c r="Y60">
        <f t="shared" si="36"/>
        <v>2.2204460492503131E-16</v>
      </c>
      <c r="Z60">
        <f t="shared" si="37"/>
        <v>5.5511151231257827E-17</v>
      </c>
      <c r="AA60">
        <f t="shared" si="38"/>
        <v>-1.3684555315672042E-48</v>
      </c>
      <c r="AB60">
        <f t="shared" si="39"/>
        <v>1.0947644252537633E-47</v>
      </c>
      <c r="AC60">
        <f t="shared" si="40"/>
        <v>1.7105694144590052E-49</v>
      </c>
      <c r="AD60">
        <f t="shared" si="41"/>
        <v>300</v>
      </c>
      <c r="AE60">
        <f t="shared" si="23"/>
        <v>1.6653345369377348E-16</v>
      </c>
    </row>
    <row r="61" spans="10:31" x14ac:dyDescent="0.3">
      <c r="W61">
        <v>55</v>
      </c>
      <c r="X61">
        <f t="shared" si="35"/>
        <v>-1.1102230246251565E-16</v>
      </c>
      <c r="Y61">
        <f t="shared" si="36"/>
        <v>5.5511151231257827E-17</v>
      </c>
      <c r="Z61">
        <f t="shared" si="37"/>
        <v>-2.7755575615628914E-17</v>
      </c>
      <c r="AA61">
        <f t="shared" si="38"/>
        <v>-1.3684555315672042E-48</v>
      </c>
      <c r="AB61">
        <f t="shared" si="39"/>
        <v>1.7105694144590052E-49</v>
      </c>
      <c r="AC61">
        <f t="shared" si="40"/>
        <v>-2.1382117680737565E-50</v>
      </c>
      <c r="AD61">
        <f t="shared" si="41"/>
        <v>300</v>
      </c>
      <c r="AE61">
        <f t="shared" si="23"/>
        <v>8.3266726846886741E-17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class example</vt:lpstr>
      <vt:lpstr>FPI converges</vt:lpstr>
      <vt:lpstr>cubic function</vt:lpstr>
    </vt:vector>
  </TitlesOfParts>
  <Company>Razer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Duane Cronin</dc:creator>
  <cp:lastModifiedBy>Duane Cronin</cp:lastModifiedBy>
  <dcterms:created xsi:type="dcterms:W3CDTF">2021-09-15T19:17:42Z</dcterms:created>
  <dcterms:modified xsi:type="dcterms:W3CDTF">2026-06-01T19:08:45Z</dcterms:modified>
</cp:coreProperties>
</file>